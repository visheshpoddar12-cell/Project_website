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visheshpoddar/Desktop/Year 2/REI/Excel models/"/>
    </mc:Choice>
  </mc:AlternateContent>
  <xr:revisionPtr revIDLastSave="0" documentId="13_ncr:1_{82EC5F6F-6617-0346-9527-79942F25FBB1}" xr6:coauthVersionLast="47" xr6:coauthVersionMax="47" xr10:uidLastSave="{00000000-0000-0000-0000-000000000000}"/>
  <bookViews>
    <workbookView xWindow="0" yWindow="0" windowWidth="28800" windowHeight="18000" firstSheet="1" activeTab="2" xr2:uid="{00000000-000D-0000-FFFF-FFFF00000000}"/>
  </bookViews>
  <sheets>
    <sheet name="Legend" sheetId="3" r:id="rId1"/>
    <sheet name="CORE MODEL&gt;&gt;&gt;" sheetId="17" r:id="rId2"/>
    <sheet name="Summary" sheetId="1" r:id="rId3"/>
    <sheet name="Input" sheetId="2" r:id="rId4"/>
    <sheet name="Model" sheetId="5" r:id="rId5"/>
    <sheet name="Segments" sheetId="4" r:id="rId6"/>
    <sheet name="DCF" sheetId="6" r:id="rId7"/>
    <sheet name="Comps" sheetId="7" r:id="rId8"/>
    <sheet name="ASSUMPTIONS &gt;&gt;&gt;" sheetId="18" r:id="rId9"/>
    <sheet name="Acquisition related" sheetId="21" r:id="rId10"/>
    <sheet name="Thesis 1" sheetId="23" r:id="rId11"/>
    <sheet name="ADDL INFO &gt;&gt;&gt;" sheetId="19" r:id="rId12"/>
    <sheet name="Charts" sheetId="24" r:id="rId13"/>
    <sheet name="Q1 2026" sheetId="25" r:id="rId14"/>
  </sheets>
  <externalReferences>
    <externalReference r:id="rId15"/>
  </externalReferences>
  <definedNames>
    <definedName name="_bdm.FastTrackBookmark.11_29_2023_2_35_46_PM.edm" hidden="1">Model!$C$159:$G$159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45360.7270833333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7" l="1"/>
  <c r="N24" i="7"/>
  <c r="O24" i="7"/>
  <c r="P24" i="7"/>
  <c r="Q24" i="7"/>
  <c r="B24" i="7"/>
  <c r="G21" i="6"/>
  <c r="F21" i="6"/>
  <c r="E21" i="6"/>
  <c r="D21" i="6"/>
  <c r="C21" i="6"/>
  <c r="D22" i="6"/>
  <c r="E22" i="6"/>
  <c r="F22" i="6"/>
  <c r="G22" i="6"/>
  <c r="C22" i="6"/>
  <c r="C20" i="6"/>
  <c r="D20" i="6"/>
  <c r="E20" i="6"/>
  <c r="F20" i="6"/>
  <c r="G20" i="6"/>
  <c r="G24" i="25"/>
  <c r="G25" i="25"/>
  <c r="G26" i="25"/>
  <c r="G27" i="25"/>
  <c r="G23" i="25"/>
  <c r="G20" i="25"/>
  <c r="F45" i="25"/>
  <c r="F44" i="25"/>
  <c r="F43" i="25"/>
  <c r="F42" i="25"/>
  <c r="F41" i="25"/>
  <c r="F25" i="25"/>
  <c r="F23" i="25"/>
  <c r="F18" i="25"/>
  <c r="F27" i="25" s="1"/>
  <c r="F17" i="25"/>
  <c r="F26" i="25" s="1"/>
  <c r="F16" i="25"/>
  <c r="F15" i="25"/>
  <c r="F24" i="25" s="1"/>
  <c r="F14" i="25"/>
  <c r="G37" i="25"/>
  <c r="G35" i="25"/>
  <c r="G34" i="25"/>
  <c r="G10" i="25"/>
  <c r="C11" i="25"/>
  <c r="C5" i="25"/>
  <c r="C13" i="25" s="1"/>
  <c r="C19" i="25" s="1"/>
  <c r="C4" i="25"/>
  <c r="K95" i="6"/>
  <c r="K96" i="6" s="1"/>
  <c r="K97" i="6" s="1"/>
  <c r="K93" i="6"/>
  <c r="K92" i="6" s="1"/>
  <c r="K91" i="6" s="1"/>
  <c r="C96" i="6"/>
  <c r="C97" i="6"/>
  <c r="C95" i="6"/>
  <c r="C92" i="6"/>
  <c r="C91" i="6" s="1"/>
  <c r="C93" i="6"/>
  <c r="E78" i="6"/>
  <c r="D78" i="6" s="1"/>
  <c r="B26" i="1"/>
  <c r="G196" i="5"/>
  <c r="F196" i="5"/>
  <c r="E196" i="5"/>
  <c r="D196" i="5"/>
  <c r="F20" i="1"/>
  <c r="T12" i="7"/>
  <c r="R12" i="7"/>
  <c r="L12" i="7"/>
  <c r="K12" i="7"/>
  <c r="J12" i="7"/>
  <c r="G12" i="7"/>
  <c r="M10" i="21"/>
  <c r="J17" i="4"/>
  <c r="L17" i="4" s="1"/>
  <c r="N17" i="4" s="1"/>
  <c r="O17" i="4" s="1"/>
  <c r="P17" i="4" s="1"/>
  <c r="Q17" i="4" s="1"/>
  <c r="R17" i="4" s="1"/>
  <c r="I54" i="4"/>
  <c r="R58" i="4"/>
  <c r="Q58" i="4"/>
  <c r="P58" i="4"/>
  <c r="O58" i="4"/>
  <c r="N58" i="4"/>
  <c r="M58" i="4"/>
  <c r="L58" i="4"/>
  <c r="K58" i="4"/>
  <c r="J58" i="4"/>
  <c r="I58" i="4"/>
  <c r="R57" i="4"/>
  <c r="Q57" i="4"/>
  <c r="P57" i="4"/>
  <c r="O57" i="4"/>
  <c r="N57" i="4"/>
  <c r="M57" i="4"/>
  <c r="L57" i="4"/>
  <c r="K57" i="4"/>
  <c r="J57" i="4"/>
  <c r="I57" i="4"/>
  <c r="R56" i="4"/>
  <c r="Q56" i="4"/>
  <c r="P56" i="4"/>
  <c r="O56" i="4"/>
  <c r="N56" i="4"/>
  <c r="M56" i="4"/>
  <c r="L56" i="4"/>
  <c r="K56" i="4"/>
  <c r="J56" i="4"/>
  <c r="I56" i="4"/>
  <c r="E24" i="23"/>
  <c r="F24" i="23" s="1"/>
  <c r="E16" i="23"/>
  <c r="E17" i="23" s="1"/>
  <c r="E8" i="23"/>
  <c r="N6" i="21"/>
  <c r="M6" i="21"/>
  <c r="L6" i="21"/>
  <c r="K6" i="21"/>
  <c r="J6" i="21"/>
  <c r="I6" i="21"/>
  <c r="H6" i="21"/>
  <c r="G6" i="21"/>
  <c r="F6" i="21"/>
  <c r="G33" i="25" l="1"/>
  <c r="G32" i="25"/>
  <c r="G36" i="25"/>
  <c r="G28" i="25"/>
  <c r="C23" i="25"/>
  <c r="G78" i="6"/>
  <c r="H78" i="6" s="1"/>
  <c r="J70" i="4"/>
  <c r="J49" i="4" s="1"/>
  <c r="I70" i="4"/>
  <c r="I49" i="4" s="1"/>
  <c r="K70" i="4"/>
  <c r="O48" i="4" s="1"/>
  <c r="L70" i="4"/>
  <c r="M70" i="4"/>
  <c r="N70" i="4"/>
  <c r="O70" i="4"/>
  <c r="P70" i="4"/>
  <c r="Q70" i="4"/>
  <c r="R70" i="4"/>
  <c r="G24" i="23"/>
  <c r="E25" i="23"/>
  <c r="F16" i="23"/>
  <c r="E9" i="23"/>
  <c r="O22" i="4"/>
  <c r="P22" i="4" s="1"/>
  <c r="Q22" i="4" s="1"/>
  <c r="R22" i="4" s="1"/>
  <c r="J22" i="4"/>
  <c r="K22" i="4" s="1"/>
  <c r="L22" i="4" s="1"/>
  <c r="M22" i="4" s="1"/>
  <c r="I12" i="4"/>
  <c r="L79" i="2"/>
  <c r="M79" i="2" s="1"/>
  <c r="N79" i="2" s="1"/>
  <c r="O79" i="2" s="1"/>
  <c r="K83" i="2"/>
  <c r="H86" i="5"/>
  <c r="I86" i="5" s="1"/>
  <c r="J86" i="5" s="1"/>
  <c r="K86" i="5" s="1"/>
  <c r="L86" i="5" s="1"/>
  <c r="M86" i="5" s="1"/>
  <c r="N86" i="5" s="1"/>
  <c r="O86" i="5" s="1"/>
  <c r="P86" i="5" s="1"/>
  <c r="Q86" i="5" s="1"/>
  <c r="H84" i="5"/>
  <c r="I84" i="5" s="1"/>
  <c r="J84" i="5" s="1"/>
  <c r="K84" i="5" s="1"/>
  <c r="L84" i="5" s="1"/>
  <c r="M84" i="5" s="1"/>
  <c r="N84" i="5" s="1"/>
  <c r="O84" i="5" s="1"/>
  <c r="P84" i="5" s="1"/>
  <c r="Q84" i="5" s="1"/>
  <c r="Q16" i="5"/>
  <c r="P16" i="5"/>
  <c r="O16" i="5"/>
  <c r="N16" i="5"/>
  <c r="M16" i="5"/>
  <c r="L16" i="5"/>
  <c r="K16" i="5"/>
  <c r="J16" i="5"/>
  <c r="I16" i="5"/>
  <c r="H16" i="5"/>
  <c r="J45" i="2"/>
  <c r="I45" i="2"/>
  <c r="H45" i="2"/>
  <c r="G45" i="2"/>
  <c r="F45" i="2"/>
  <c r="E7" i="21"/>
  <c r="F7" i="21"/>
  <c r="G7" i="21"/>
  <c r="H7" i="21"/>
  <c r="I7" i="21"/>
  <c r="J7" i="21"/>
  <c r="K7" i="21"/>
  <c r="L7" i="21"/>
  <c r="M7" i="21"/>
  <c r="N7" i="21"/>
  <c r="F10" i="21"/>
  <c r="G10" i="21"/>
  <c r="H10" i="21"/>
  <c r="I10" i="21"/>
  <c r="J10" i="21"/>
  <c r="K10" i="21"/>
  <c r="L10" i="21"/>
  <c r="N10" i="21"/>
  <c r="F15" i="21"/>
  <c r="F16" i="21"/>
  <c r="F17" i="21"/>
  <c r="F18" i="21"/>
  <c r="F19" i="21"/>
  <c r="F20" i="21"/>
  <c r="K33" i="7"/>
  <c r="K35" i="7" s="1"/>
  <c r="H27" i="4"/>
  <c r="H28" i="4"/>
  <c r="H29" i="4"/>
  <c r="H30" i="4"/>
  <c r="H26" i="4"/>
  <c r="T63" i="2"/>
  <c r="S63" i="2"/>
  <c r="R63" i="2"/>
  <c r="Q63" i="2"/>
  <c r="P63" i="2"/>
  <c r="O63" i="2"/>
  <c r="N63" i="2"/>
  <c r="M63" i="2"/>
  <c r="L63" i="2"/>
  <c r="K63" i="2"/>
  <c r="D61" i="6"/>
  <c r="E54" i="7"/>
  <c r="E49" i="7"/>
  <c r="E47" i="7"/>
  <c r="C47" i="7"/>
  <c r="E46" i="7"/>
  <c r="C46" i="7"/>
  <c r="E44" i="7"/>
  <c r="E40" i="7"/>
  <c r="E38" i="7"/>
  <c r="D38" i="7"/>
  <c r="E37" i="7"/>
  <c r="D37" i="7"/>
  <c r="E35" i="7"/>
  <c r="T26" i="7"/>
  <c r="R26" i="7"/>
  <c r="L26" i="7"/>
  <c r="K26" i="7"/>
  <c r="J26" i="7"/>
  <c r="G26" i="7"/>
  <c r="T25" i="7"/>
  <c r="R25" i="7"/>
  <c r="L25" i="7"/>
  <c r="K25" i="7"/>
  <c r="J25" i="7"/>
  <c r="G25" i="7"/>
  <c r="S23" i="7"/>
  <c r="Q23" i="7"/>
  <c r="P23" i="7"/>
  <c r="O23" i="7"/>
  <c r="N23" i="7"/>
  <c r="M23" i="7"/>
  <c r="S22" i="7"/>
  <c r="Q22" i="7"/>
  <c r="P22" i="7"/>
  <c r="O22" i="7"/>
  <c r="N22" i="7"/>
  <c r="M22" i="7"/>
  <c r="S21" i="7"/>
  <c r="Q21" i="7"/>
  <c r="P21" i="7"/>
  <c r="O21" i="7"/>
  <c r="N21" i="7"/>
  <c r="M21" i="7"/>
  <c r="S20" i="7"/>
  <c r="Q20" i="7"/>
  <c r="P20" i="7"/>
  <c r="O20" i="7"/>
  <c r="N20" i="7"/>
  <c r="M20" i="7"/>
  <c r="S19" i="7"/>
  <c r="Q19" i="7"/>
  <c r="P19" i="7"/>
  <c r="O19" i="7"/>
  <c r="N19" i="7"/>
  <c r="M19" i="7"/>
  <c r="S18" i="7"/>
  <c r="Q18" i="7"/>
  <c r="P18" i="7"/>
  <c r="O18" i="7"/>
  <c r="N18" i="7"/>
  <c r="M18" i="7"/>
  <c r="S17" i="7"/>
  <c r="Q17" i="7"/>
  <c r="P17" i="7"/>
  <c r="O17" i="7"/>
  <c r="N17" i="7"/>
  <c r="M17" i="7"/>
  <c r="T14" i="7"/>
  <c r="R14" i="7"/>
  <c r="L14" i="7"/>
  <c r="K14" i="7"/>
  <c r="J14" i="7"/>
  <c r="G14" i="7"/>
  <c r="T13" i="7"/>
  <c r="R13" i="7"/>
  <c r="L13" i="7"/>
  <c r="K13" i="7"/>
  <c r="J13" i="7"/>
  <c r="G13" i="7"/>
  <c r="S11" i="7"/>
  <c r="Q11" i="7"/>
  <c r="P11" i="7"/>
  <c r="O11" i="7"/>
  <c r="N11" i="7"/>
  <c r="M11" i="7"/>
  <c r="D11" i="7"/>
  <c r="C11" i="7"/>
  <c r="B11" i="7"/>
  <c r="S10" i="7"/>
  <c r="Q10" i="7"/>
  <c r="P10" i="7"/>
  <c r="O10" i="7"/>
  <c r="N10" i="7"/>
  <c r="M10" i="7"/>
  <c r="S9" i="7"/>
  <c r="Q9" i="7"/>
  <c r="P9" i="7"/>
  <c r="O9" i="7"/>
  <c r="N9" i="7"/>
  <c r="M9" i="7"/>
  <c r="S8" i="7"/>
  <c r="Q8" i="7"/>
  <c r="P8" i="7"/>
  <c r="O8" i="7"/>
  <c r="N8" i="7"/>
  <c r="M8" i="7"/>
  <c r="S7" i="7"/>
  <c r="Q7" i="7"/>
  <c r="P7" i="7"/>
  <c r="O7" i="7"/>
  <c r="N7" i="7"/>
  <c r="M7" i="7"/>
  <c r="S6" i="7"/>
  <c r="Q6" i="7"/>
  <c r="P6" i="7"/>
  <c r="O6" i="7"/>
  <c r="N6" i="7"/>
  <c r="M6" i="7"/>
  <c r="S5" i="7"/>
  <c r="Q5" i="7"/>
  <c r="P5" i="7"/>
  <c r="O5" i="7"/>
  <c r="N5" i="7"/>
  <c r="M5" i="7"/>
  <c r="B2" i="7"/>
  <c r="A2" i="7" s="1"/>
  <c r="A1" i="7"/>
  <c r="S12" i="7" l="1"/>
  <c r="G38" i="25"/>
  <c r="G47" i="25" s="1"/>
  <c r="Q12" i="7"/>
  <c r="N12" i="7"/>
  <c r="E34" i="7" s="1"/>
  <c r="M12" i="7"/>
  <c r="O13" i="7"/>
  <c r="F14" i="6" s="1"/>
  <c r="O12" i="7"/>
  <c r="E43" i="7" s="1"/>
  <c r="Q14" i="7"/>
  <c r="P14" i="7"/>
  <c r="P12" i="7"/>
  <c r="E53" i="7" s="1"/>
  <c r="Q26" i="7"/>
  <c r="L83" i="2"/>
  <c r="I48" i="4"/>
  <c r="R49" i="4"/>
  <c r="Q49" i="4"/>
  <c r="O49" i="4"/>
  <c r="N49" i="4"/>
  <c r="L49" i="4"/>
  <c r="P49" i="4"/>
  <c r="M49" i="4"/>
  <c r="K49" i="4"/>
  <c r="N48" i="4"/>
  <c r="M48" i="4"/>
  <c r="P48" i="4"/>
  <c r="L48" i="4"/>
  <c r="J48" i="4"/>
  <c r="P26" i="7"/>
  <c r="M14" i="7"/>
  <c r="S25" i="7"/>
  <c r="N13" i="7"/>
  <c r="M13" i="7"/>
  <c r="M25" i="7"/>
  <c r="Q13" i="7"/>
  <c r="N26" i="7"/>
  <c r="S14" i="7"/>
  <c r="O26" i="7"/>
  <c r="F22" i="21"/>
  <c r="K48" i="4"/>
  <c r="R48" i="4"/>
  <c r="Q48" i="4"/>
  <c r="J12" i="4"/>
  <c r="K12" i="4" s="1"/>
  <c r="L12" i="4" s="1"/>
  <c r="E23" i="23"/>
  <c r="E7" i="23"/>
  <c r="E15" i="23"/>
  <c r="I40" i="4"/>
  <c r="H24" i="23"/>
  <c r="G16" i="23"/>
  <c r="O83" i="2"/>
  <c r="P79" i="2"/>
  <c r="N83" i="2"/>
  <c r="M83" i="2"/>
  <c r="F21" i="21"/>
  <c r="P13" i="7"/>
  <c r="N25" i="7"/>
  <c r="O25" i="7"/>
  <c r="S26" i="7"/>
  <c r="N14" i="7"/>
  <c r="P25" i="7"/>
  <c r="Q25" i="7"/>
  <c r="M26" i="7"/>
  <c r="S13" i="7"/>
  <c r="O14" i="7"/>
  <c r="E36" i="7" l="1"/>
  <c r="E39" i="7" s="1"/>
  <c r="E41" i="7" s="1"/>
  <c r="M33" i="7" s="1"/>
  <c r="E55" i="7"/>
  <c r="M35" i="7" s="1"/>
  <c r="E45" i="7"/>
  <c r="E48" i="7" s="1"/>
  <c r="E50" i="7" s="1"/>
  <c r="M34" i="7" s="1"/>
  <c r="J40" i="4"/>
  <c r="K40" i="4"/>
  <c r="I24" i="23"/>
  <c r="H16" i="23"/>
  <c r="M12" i="4"/>
  <c r="L40" i="4"/>
  <c r="P83" i="2"/>
  <c r="Q79" i="2"/>
  <c r="B1" i="7"/>
  <c r="N33" i="7" l="1"/>
  <c r="H20" i="1" s="1"/>
  <c r="J24" i="23"/>
  <c r="I16" i="23"/>
  <c r="N12" i="4"/>
  <c r="M40" i="4"/>
  <c r="Q83" i="2"/>
  <c r="R79" i="2"/>
  <c r="Q31" i="6"/>
  <c r="P31" i="6"/>
  <c r="O31" i="6"/>
  <c r="N31" i="6"/>
  <c r="M31" i="6"/>
  <c r="L31" i="6"/>
  <c r="K31" i="6"/>
  <c r="J31" i="6"/>
  <c r="I31" i="6"/>
  <c r="H31" i="6"/>
  <c r="F106" i="2"/>
  <c r="G106" i="2"/>
  <c r="H106" i="2"/>
  <c r="I106" i="2"/>
  <c r="J106" i="2"/>
  <c r="K24" i="23" l="1"/>
  <c r="J16" i="23"/>
  <c r="O12" i="4"/>
  <c r="N40" i="4"/>
  <c r="S79" i="2"/>
  <c r="R83" i="2"/>
  <c r="Q60" i="5"/>
  <c r="P60" i="5"/>
  <c r="O60" i="5"/>
  <c r="N60" i="5"/>
  <c r="M60" i="5"/>
  <c r="L60" i="5"/>
  <c r="K60" i="5"/>
  <c r="J60" i="5"/>
  <c r="I60" i="5"/>
  <c r="H60" i="5"/>
  <c r="J86" i="2"/>
  <c r="G164" i="5" s="1"/>
  <c r="G166" i="5" s="1"/>
  <c r="I86" i="2"/>
  <c r="F164" i="5" s="1"/>
  <c r="F166" i="5" s="1"/>
  <c r="H86" i="2"/>
  <c r="E164" i="5" s="1"/>
  <c r="E166" i="5" s="1"/>
  <c r="G86" i="2"/>
  <c r="D164" i="5" s="1"/>
  <c r="D166" i="5" s="1"/>
  <c r="F86" i="2"/>
  <c r="C164" i="5" s="1"/>
  <c r="H93" i="5"/>
  <c r="I93" i="5" s="1"/>
  <c r="J93" i="5" s="1"/>
  <c r="K93" i="5" s="1"/>
  <c r="L93" i="5" s="1"/>
  <c r="M93" i="5" s="1"/>
  <c r="N93" i="5" s="1"/>
  <c r="O93" i="5" s="1"/>
  <c r="P93" i="5" s="1"/>
  <c r="Q93" i="5" s="1"/>
  <c r="D110" i="5"/>
  <c r="E110" i="5"/>
  <c r="F110" i="5"/>
  <c r="G110" i="5"/>
  <c r="C110" i="5"/>
  <c r="D165" i="5"/>
  <c r="E165" i="5"/>
  <c r="F165" i="5"/>
  <c r="G165" i="5"/>
  <c r="C165" i="5"/>
  <c r="G150" i="5"/>
  <c r="F150" i="5"/>
  <c r="E150" i="5"/>
  <c r="D150" i="5"/>
  <c r="L24" i="23" l="1"/>
  <c r="K16" i="23"/>
  <c r="P12" i="4"/>
  <c r="O40" i="4"/>
  <c r="T79" i="2"/>
  <c r="T83" i="2" s="1"/>
  <c r="S83" i="2"/>
  <c r="H179" i="5"/>
  <c r="G179" i="5"/>
  <c r="F179" i="5"/>
  <c r="E179" i="5"/>
  <c r="D179" i="5"/>
  <c r="T72" i="2"/>
  <c r="S72" i="2"/>
  <c r="R72" i="2"/>
  <c r="Q72" i="2"/>
  <c r="P72" i="2"/>
  <c r="O72" i="2"/>
  <c r="N72" i="2"/>
  <c r="M72" i="2"/>
  <c r="L72" i="2"/>
  <c r="K72" i="2"/>
  <c r="K101" i="2" s="1"/>
  <c r="H197" i="5" s="1"/>
  <c r="T66" i="2"/>
  <c r="S66" i="2"/>
  <c r="R66" i="2"/>
  <c r="Q66" i="2"/>
  <c r="P66" i="2"/>
  <c r="O66" i="2"/>
  <c r="N66" i="2"/>
  <c r="M66" i="2"/>
  <c r="L66" i="2"/>
  <c r="T65" i="2"/>
  <c r="S65" i="2"/>
  <c r="R65" i="2"/>
  <c r="Q65" i="2"/>
  <c r="P65" i="2"/>
  <c r="O65" i="2"/>
  <c r="N65" i="2"/>
  <c r="M65" i="2"/>
  <c r="L65" i="2"/>
  <c r="K66" i="2"/>
  <c r="H73" i="5" s="1"/>
  <c r="K65" i="2"/>
  <c r="K67" i="2" s="1"/>
  <c r="P30" i="2"/>
  <c r="Q30" i="2" s="1"/>
  <c r="L31" i="2"/>
  <c r="M31" i="2"/>
  <c r="N31" i="2"/>
  <c r="O31" i="2"/>
  <c r="M24" i="23" l="1"/>
  <c r="L16" i="23"/>
  <c r="Q12" i="4"/>
  <c r="P40" i="4"/>
  <c r="L67" i="2"/>
  <c r="L29" i="2" s="1"/>
  <c r="I15" i="5" s="1"/>
  <c r="I143" i="5" s="1"/>
  <c r="I73" i="5"/>
  <c r="J73" i="5" s="1"/>
  <c r="K73" i="5" s="1"/>
  <c r="L73" i="5" s="1"/>
  <c r="M73" i="5" s="1"/>
  <c r="N73" i="5" s="1"/>
  <c r="O73" i="5" s="1"/>
  <c r="P73" i="5" s="1"/>
  <c r="Q73" i="5" s="1"/>
  <c r="K103" i="2"/>
  <c r="K86" i="2"/>
  <c r="L101" i="2"/>
  <c r="K29" i="2"/>
  <c r="H15" i="5" s="1"/>
  <c r="H72" i="5" s="1"/>
  <c r="R30" i="2"/>
  <c r="H159" i="5"/>
  <c r="F149" i="5"/>
  <c r="G149" i="5"/>
  <c r="E149" i="5"/>
  <c r="D46" i="4"/>
  <c r="E46" i="4"/>
  <c r="F46" i="4"/>
  <c r="G46" i="4"/>
  <c r="H46" i="4"/>
  <c r="D47" i="4"/>
  <c r="E47" i="4"/>
  <c r="F47" i="4"/>
  <c r="G47" i="4"/>
  <c r="H47" i="4"/>
  <c r="D48" i="4"/>
  <c r="E48" i="4"/>
  <c r="F48" i="4"/>
  <c r="G48" i="4"/>
  <c r="H48" i="4"/>
  <c r="E45" i="4"/>
  <c r="F45" i="4"/>
  <c r="G45" i="4"/>
  <c r="H45" i="4"/>
  <c r="L86" i="2" l="1"/>
  <c r="I197" i="5"/>
  <c r="N24" i="23"/>
  <c r="M16" i="23"/>
  <c r="R12" i="4"/>
  <c r="R40" i="4" s="1"/>
  <c r="Q40" i="4"/>
  <c r="M101" i="2"/>
  <c r="M67" i="2"/>
  <c r="N67" i="2" s="1"/>
  <c r="L103" i="2"/>
  <c r="I72" i="5"/>
  <c r="H143" i="5"/>
  <c r="S30" i="2"/>
  <c r="I85" i="5"/>
  <c r="I196" i="5" s="1"/>
  <c r="H85" i="5"/>
  <c r="H196" i="5" s="1"/>
  <c r="G107" i="2"/>
  <c r="H107" i="2"/>
  <c r="I107" i="2"/>
  <c r="J107" i="2"/>
  <c r="F107" i="2"/>
  <c r="K107" i="2"/>
  <c r="D60" i="5"/>
  <c r="E60" i="5"/>
  <c r="F60" i="5"/>
  <c r="G60" i="5"/>
  <c r="C60" i="5"/>
  <c r="I203" i="5"/>
  <c r="G79" i="2"/>
  <c r="H79" i="2"/>
  <c r="I79" i="2"/>
  <c r="J79" i="2"/>
  <c r="G80" i="2"/>
  <c r="H80" i="2"/>
  <c r="I80" i="2"/>
  <c r="J80" i="2"/>
  <c r="F79" i="2"/>
  <c r="D160" i="5"/>
  <c r="E160" i="5"/>
  <c r="F160" i="5"/>
  <c r="G160" i="5"/>
  <c r="C160" i="5"/>
  <c r="L50" i="2"/>
  <c r="M50" i="2" s="1"/>
  <c r="N50" i="2" s="1"/>
  <c r="O50" i="2" s="1"/>
  <c r="P50" i="2" s="1"/>
  <c r="Q50" i="2" s="1"/>
  <c r="R50" i="2" s="1"/>
  <c r="S50" i="2" s="1"/>
  <c r="T50" i="2" s="1"/>
  <c r="I9" i="4"/>
  <c r="I8" i="4"/>
  <c r="I7" i="4"/>
  <c r="D45" i="4"/>
  <c r="E44" i="4"/>
  <c r="F44" i="4"/>
  <c r="G44" i="4"/>
  <c r="H44" i="4"/>
  <c r="D44" i="4"/>
  <c r="G72" i="2"/>
  <c r="G63" i="2" s="1"/>
  <c r="D31" i="6" s="1"/>
  <c r="H72" i="2"/>
  <c r="H63" i="2" s="1"/>
  <c r="E31" i="6" s="1"/>
  <c r="I72" i="2"/>
  <c r="I63" i="2" s="1"/>
  <c r="F31" i="6" s="1"/>
  <c r="J72" i="2"/>
  <c r="J63" i="2" s="1"/>
  <c r="G31" i="6" s="1"/>
  <c r="F72" i="2"/>
  <c r="F63" i="2" s="1"/>
  <c r="C31" i="6" s="1"/>
  <c r="G81" i="2"/>
  <c r="G82" i="2"/>
  <c r="G83" i="2"/>
  <c r="C26" i="2"/>
  <c r="C24" i="2"/>
  <c r="C23" i="2"/>
  <c r="C22" i="2"/>
  <c r="D149" i="5"/>
  <c r="C149" i="5"/>
  <c r="I10" i="4"/>
  <c r="C17" i="5"/>
  <c r="D17" i="5"/>
  <c r="E17" i="5"/>
  <c r="F17" i="5"/>
  <c r="G17" i="5"/>
  <c r="N101" i="2" l="1"/>
  <c r="K197" i="5" s="1"/>
  <c r="J197" i="5"/>
  <c r="M86" i="2"/>
  <c r="J85" i="5" s="1"/>
  <c r="J196" i="5" s="1"/>
  <c r="M103" i="2"/>
  <c r="N103" i="2" s="1"/>
  <c r="F25" i="23"/>
  <c r="F17" i="23"/>
  <c r="O24" i="23"/>
  <c r="N16" i="23"/>
  <c r="M29" i="2"/>
  <c r="J15" i="5" s="1"/>
  <c r="J143" i="5" s="1"/>
  <c r="J7" i="4"/>
  <c r="I37" i="4"/>
  <c r="J9" i="4"/>
  <c r="J8" i="4"/>
  <c r="O101" i="2"/>
  <c r="L197" i="5" s="1"/>
  <c r="N86" i="2"/>
  <c r="K85" i="5" s="1"/>
  <c r="K196" i="5" s="1"/>
  <c r="O67" i="2"/>
  <c r="N29" i="2"/>
  <c r="K15" i="5" s="1"/>
  <c r="K143" i="5" s="1"/>
  <c r="T30" i="2"/>
  <c r="I38" i="4"/>
  <c r="C48" i="4"/>
  <c r="C47" i="4"/>
  <c r="C46" i="4"/>
  <c r="C45" i="4"/>
  <c r="C44" i="4"/>
  <c r="H41" i="4"/>
  <c r="G41" i="4"/>
  <c r="F41" i="4"/>
  <c r="E41" i="4"/>
  <c r="D41" i="4"/>
  <c r="H19" i="4"/>
  <c r="G19" i="4"/>
  <c r="F19" i="4"/>
  <c r="E19" i="4"/>
  <c r="C19" i="4"/>
  <c r="C28" i="4" s="1"/>
  <c r="H18" i="4"/>
  <c r="G18" i="4"/>
  <c r="F18" i="4"/>
  <c r="E18" i="4"/>
  <c r="C18" i="4"/>
  <c r="C27" i="4" s="1"/>
  <c r="D13" i="4"/>
  <c r="E13" i="4"/>
  <c r="F13" i="4"/>
  <c r="G13" i="4"/>
  <c r="H13" i="4"/>
  <c r="C94" i="5"/>
  <c r="D94" i="5"/>
  <c r="E94" i="5"/>
  <c r="F94" i="5"/>
  <c r="G94" i="5"/>
  <c r="C88" i="5"/>
  <c r="D88" i="5"/>
  <c r="E88" i="5"/>
  <c r="F88" i="5"/>
  <c r="G88" i="5"/>
  <c r="D51" i="5"/>
  <c r="C42" i="5"/>
  <c r="H27" i="5"/>
  <c r="I27" i="5"/>
  <c r="J27" i="5"/>
  <c r="K27" i="5"/>
  <c r="L27" i="5"/>
  <c r="M27" i="5"/>
  <c r="N27" i="5"/>
  <c r="O27" i="5"/>
  <c r="P27" i="5"/>
  <c r="Q27" i="5"/>
  <c r="D33" i="5"/>
  <c r="E33" i="5"/>
  <c r="F33" i="5"/>
  <c r="G33" i="5"/>
  <c r="C33" i="5"/>
  <c r="O16" i="23" l="1"/>
  <c r="J72" i="5"/>
  <c r="K72" i="5" s="1"/>
  <c r="J37" i="4"/>
  <c r="K7" i="4"/>
  <c r="K8" i="4"/>
  <c r="K9" i="4"/>
  <c r="K37" i="4" s="1"/>
  <c r="C11" i="5"/>
  <c r="D50" i="4"/>
  <c r="D11" i="5"/>
  <c r="E50" i="4"/>
  <c r="E11" i="5"/>
  <c r="F50" i="4"/>
  <c r="F11" i="5"/>
  <c r="G50" i="4"/>
  <c r="G11" i="5"/>
  <c r="H50" i="4"/>
  <c r="P101" i="2"/>
  <c r="M197" i="5" s="1"/>
  <c r="O86" i="2"/>
  <c r="L85" i="5" s="1"/>
  <c r="L196" i="5" s="1"/>
  <c r="O103" i="2"/>
  <c r="P103" i="2" s="1"/>
  <c r="P67" i="2"/>
  <c r="O29" i="2"/>
  <c r="L15" i="5" s="1"/>
  <c r="L143" i="5" s="1"/>
  <c r="J203" i="5"/>
  <c r="D9" i="5"/>
  <c r="G19" i="2" s="1"/>
  <c r="C9" i="5"/>
  <c r="G9" i="5"/>
  <c r="F9" i="5"/>
  <c r="E9" i="5"/>
  <c r="E28" i="4"/>
  <c r="D27" i="4"/>
  <c r="F28" i="4"/>
  <c r="E27" i="4"/>
  <c r="G28" i="4"/>
  <c r="F27" i="4"/>
  <c r="G27" i="4"/>
  <c r="D28" i="4"/>
  <c r="B5" i="2"/>
  <c r="B1" i="6" s="1"/>
  <c r="H74" i="5"/>
  <c r="H142" i="5"/>
  <c r="G40" i="2"/>
  <c r="D135" i="5"/>
  <c r="F20" i="4"/>
  <c r="F17" i="4"/>
  <c r="C119" i="5"/>
  <c r="D26" i="4"/>
  <c r="H180" i="5"/>
  <c r="K60" i="4"/>
  <c r="K44" i="4" s="1"/>
  <c r="A1" i="6"/>
  <c r="A1" i="4"/>
  <c r="A5" i="5"/>
  <c r="A5" i="1"/>
  <c r="P94" i="2"/>
  <c r="Q94" i="2" s="1"/>
  <c r="R94" i="2" s="1"/>
  <c r="S94" i="2" s="1"/>
  <c r="T94" i="2" s="1"/>
  <c r="J95" i="2"/>
  <c r="I95" i="2"/>
  <c r="H95" i="2"/>
  <c r="G95" i="2"/>
  <c r="F95" i="2"/>
  <c r="D8" i="1"/>
  <c r="L8" i="4" l="1"/>
  <c r="L9" i="4"/>
  <c r="L7" i="4"/>
  <c r="K35" i="4"/>
  <c r="Q101" i="2"/>
  <c r="N197" i="5" s="1"/>
  <c r="P86" i="2"/>
  <c r="M85" i="5" s="1"/>
  <c r="M196" i="5" s="1"/>
  <c r="Q67" i="2"/>
  <c r="P29" i="2"/>
  <c r="M15" i="5" s="1"/>
  <c r="M143" i="5" s="1"/>
  <c r="L72" i="5"/>
  <c r="K203" i="5"/>
  <c r="C10" i="5"/>
  <c r="H26" i="1" s="1"/>
  <c r="F53" i="2"/>
  <c r="F54" i="2"/>
  <c r="D10" i="5"/>
  <c r="D130" i="5" s="1"/>
  <c r="D131" i="5" s="1"/>
  <c r="G54" i="2"/>
  <c r="D129" i="5"/>
  <c r="G53" i="2"/>
  <c r="D128" i="5"/>
  <c r="E10" i="5"/>
  <c r="J26" i="1" s="1"/>
  <c r="H53" i="2"/>
  <c r="E129" i="5"/>
  <c r="H54" i="2"/>
  <c r="F10" i="5"/>
  <c r="F130" i="5" s="1"/>
  <c r="F131" i="5" s="1"/>
  <c r="I53" i="2"/>
  <c r="F129" i="5"/>
  <c r="I54" i="2"/>
  <c r="G10" i="5"/>
  <c r="J53" i="2"/>
  <c r="G129" i="5"/>
  <c r="J54" i="2"/>
  <c r="J42" i="2"/>
  <c r="H19" i="2"/>
  <c r="J19" i="2"/>
  <c r="J41" i="2" s="1"/>
  <c r="I19" i="2"/>
  <c r="F19" i="2"/>
  <c r="F41" i="2" s="1"/>
  <c r="E23" i="4"/>
  <c r="F29" i="4"/>
  <c r="F30" i="4"/>
  <c r="B5" i="1"/>
  <c r="B5" i="5"/>
  <c r="B203" i="5" s="1"/>
  <c r="C1" i="4"/>
  <c r="I55" i="4"/>
  <c r="I21" i="4" s="1"/>
  <c r="J55" i="4"/>
  <c r="J21" i="4" s="1"/>
  <c r="J10" i="4"/>
  <c r="L55" i="4"/>
  <c r="L21" i="4" s="1"/>
  <c r="K55" i="4"/>
  <c r="K21" i="4" s="1"/>
  <c r="I60" i="4"/>
  <c r="J60" i="4"/>
  <c r="M60" i="4"/>
  <c r="M44" i="4" s="1"/>
  <c r="L60" i="4"/>
  <c r="L44" i="4" s="1"/>
  <c r="M55" i="4"/>
  <c r="M21" i="4" s="1"/>
  <c r="G96" i="2"/>
  <c r="H96" i="2"/>
  <c r="I96" i="2"/>
  <c r="J96" i="2"/>
  <c r="G143" i="5"/>
  <c r="J30" i="2" s="1"/>
  <c r="F143" i="5"/>
  <c r="I30" i="2" s="1"/>
  <c r="E143" i="5"/>
  <c r="H30" i="2" s="1"/>
  <c r="D143" i="5"/>
  <c r="G30" i="2" s="1"/>
  <c r="C143" i="5"/>
  <c r="F30" i="2" s="1"/>
  <c r="G28" i="6"/>
  <c r="L34" i="1" s="1"/>
  <c r="B1" i="1"/>
  <c r="F83" i="2"/>
  <c r="H83" i="2"/>
  <c r="I83" i="2"/>
  <c r="J83" i="2"/>
  <c r="H82" i="2"/>
  <c r="I82" i="2"/>
  <c r="J82" i="2"/>
  <c r="F82" i="2"/>
  <c r="F81" i="2"/>
  <c r="H81" i="2"/>
  <c r="I81" i="2"/>
  <c r="J81" i="2"/>
  <c r="F80" i="2"/>
  <c r="K82" i="2"/>
  <c r="H168" i="5" s="1"/>
  <c r="T82" i="2"/>
  <c r="Q168" i="5" s="1"/>
  <c r="S82" i="2"/>
  <c r="P168" i="5" s="1"/>
  <c r="R82" i="2"/>
  <c r="O168" i="5" s="1"/>
  <c r="Q82" i="2"/>
  <c r="N168" i="5" s="1"/>
  <c r="P82" i="2"/>
  <c r="M168" i="5" s="1"/>
  <c r="O82" i="2"/>
  <c r="L168" i="5" s="1"/>
  <c r="N82" i="2"/>
  <c r="K168" i="5" s="1"/>
  <c r="M82" i="2"/>
  <c r="J168" i="5" s="1"/>
  <c r="L82" i="2"/>
  <c r="I168" i="5" s="1"/>
  <c r="I74" i="5"/>
  <c r="J74" i="5" s="1"/>
  <c r="K74" i="5" s="1"/>
  <c r="L74" i="5" s="1"/>
  <c r="M74" i="5" s="1"/>
  <c r="N74" i="5" s="1"/>
  <c r="O74" i="5" s="1"/>
  <c r="P74" i="5" s="1"/>
  <c r="Q74" i="5" s="1"/>
  <c r="C120" i="5"/>
  <c r="F9" i="6"/>
  <c r="F11" i="6"/>
  <c r="C18" i="6"/>
  <c r="H24" i="1" s="1"/>
  <c r="D18" i="6"/>
  <c r="I24" i="1" s="1"/>
  <c r="E18" i="6"/>
  <c r="J24" i="1" s="1"/>
  <c r="F18" i="6"/>
  <c r="K24" i="1" s="1"/>
  <c r="G18" i="6"/>
  <c r="C28" i="6"/>
  <c r="H34" i="1" s="1"/>
  <c r="D28" i="6"/>
  <c r="I34" i="1" s="1"/>
  <c r="E28" i="6"/>
  <c r="J34" i="1" s="1"/>
  <c r="F28" i="6"/>
  <c r="K34" i="1" s="1"/>
  <c r="C32" i="6"/>
  <c r="D32" i="6"/>
  <c r="E32" i="6"/>
  <c r="F32" i="6"/>
  <c r="G32" i="6"/>
  <c r="C58" i="6"/>
  <c r="C68" i="6" s="1"/>
  <c r="C59" i="6"/>
  <c r="C69" i="6" s="1"/>
  <c r="C81" i="6"/>
  <c r="C80" i="6" s="1"/>
  <c r="C79" i="6" s="1"/>
  <c r="K81" i="6"/>
  <c r="K80" i="6" s="1"/>
  <c r="K79" i="6" s="1"/>
  <c r="C83" i="6"/>
  <c r="C84" i="6" s="1"/>
  <c r="C85" i="6" s="1"/>
  <c r="K83" i="6"/>
  <c r="K84" i="6"/>
  <c r="K85" i="6"/>
  <c r="C17" i="4"/>
  <c r="C26" i="4" s="1"/>
  <c r="E17" i="4"/>
  <c r="G17" i="4"/>
  <c r="H17" i="4"/>
  <c r="C20" i="4"/>
  <c r="C29" i="4" s="1"/>
  <c r="E20" i="4"/>
  <c r="G20" i="4"/>
  <c r="H20" i="4"/>
  <c r="C21" i="4"/>
  <c r="C30" i="4" s="1"/>
  <c r="E21" i="4"/>
  <c r="F21" i="4"/>
  <c r="G21" i="4"/>
  <c r="H21" i="4"/>
  <c r="D55" i="5"/>
  <c r="G55" i="5"/>
  <c r="C19" i="5"/>
  <c r="D19" i="5"/>
  <c r="F19" i="5"/>
  <c r="G19" i="5"/>
  <c r="G198" i="5"/>
  <c r="H22" i="5"/>
  <c r="H23" i="5"/>
  <c r="J59" i="2"/>
  <c r="G68" i="5"/>
  <c r="J57" i="2" s="1"/>
  <c r="H156" i="5"/>
  <c r="H157" i="5"/>
  <c r="H158" i="5"/>
  <c r="H160" i="5"/>
  <c r="H164" i="5"/>
  <c r="H170" i="5"/>
  <c r="H172" i="5"/>
  <c r="H173" i="5"/>
  <c r="H174" i="5"/>
  <c r="H175" i="5"/>
  <c r="G147" i="5"/>
  <c r="G36" i="5" s="1"/>
  <c r="G33" i="6" s="1"/>
  <c r="F147" i="5"/>
  <c r="F189" i="5" s="1"/>
  <c r="E147" i="5"/>
  <c r="D147" i="5"/>
  <c r="D36" i="5" s="1"/>
  <c r="D33" i="6" s="1"/>
  <c r="C147" i="5"/>
  <c r="C189" i="5" s="1"/>
  <c r="I22" i="5"/>
  <c r="I23" i="5"/>
  <c r="I156" i="5"/>
  <c r="I157" i="5"/>
  <c r="I158" i="5"/>
  <c r="I160" i="5"/>
  <c r="I164" i="5"/>
  <c r="I170" i="5"/>
  <c r="I172" i="5"/>
  <c r="I173" i="5"/>
  <c r="I174" i="5"/>
  <c r="I175" i="5"/>
  <c r="I180" i="5"/>
  <c r="J22" i="5"/>
  <c r="J23" i="5"/>
  <c r="J156" i="5"/>
  <c r="J157" i="5"/>
  <c r="J158" i="5"/>
  <c r="J160" i="5"/>
  <c r="J164" i="5"/>
  <c r="J170" i="5"/>
  <c r="J172" i="5"/>
  <c r="J173" i="5"/>
  <c r="J174" i="5"/>
  <c r="J175" i="5"/>
  <c r="J180" i="5"/>
  <c r="K22" i="5"/>
  <c r="K23" i="5"/>
  <c r="K156" i="5"/>
  <c r="K157" i="5"/>
  <c r="K158" i="5"/>
  <c r="K160" i="5"/>
  <c r="K164" i="5"/>
  <c r="K170" i="5"/>
  <c r="K172" i="5"/>
  <c r="K173" i="5"/>
  <c r="K174" i="5"/>
  <c r="K175" i="5"/>
  <c r="K180" i="5"/>
  <c r="L22" i="5"/>
  <c r="L23" i="5"/>
  <c r="L156" i="5"/>
  <c r="L157" i="5"/>
  <c r="L158" i="5"/>
  <c r="L160" i="5"/>
  <c r="L164" i="5"/>
  <c r="L170" i="5"/>
  <c r="L172" i="5"/>
  <c r="L173" i="5"/>
  <c r="L174" i="5"/>
  <c r="L175" i="5"/>
  <c r="L180" i="5"/>
  <c r="M22" i="5"/>
  <c r="M23" i="5"/>
  <c r="M156" i="5"/>
  <c r="M157" i="5"/>
  <c r="M158" i="5"/>
  <c r="M160" i="5"/>
  <c r="M170" i="5"/>
  <c r="M172" i="5"/>
  <c r="M173" i="5"/>
  <c r="M174" i="5"/>
  <c r="M175" i="5"/>
  <c r="M180" i="5"/>
  <c r="N22" i="5"/>
  <c r="N23" i="5"/>
  <c r="N156" i="5"/>
  <c r="N157" i="5"/>
  <c r="N158" i="5"/>
  <c r="N160" i="5"/>
  <c r="N170" i="5"/>
  <c r="N172" i="5"/>
  <c r="N173" i="5"/>
  <c r="N174" i="5"/>
  <c r="N175" i="5"/>
  <c r="N180" i="5"/>
  <c r="O22" i="5"/>
  <c r="O23" i="5"/>
  <c r="O156" i="5"/>
  <c r="O157" i="5"/>
  <c r="O158" i="5"/>
  <c r="O160" i="5"/>
  <c r="O170" i="5"/>
  <c r="O172" i="5"/>
  <c r="O173" i="5"/>
  <c r="O174" i="5"/>
  <c r="O175" i="5"/>
  <c r="O180" i="5"/>
  <c r="P22" i="5"/>
  <c r="P23" i="5"/>
  <c r="P156" i="5"/>
  <c r="P157" i="5"/>
  <c r="P158" i="5"/>
  <c r="P160" i="5"/>
  <c r="P170" i="5"/>
  <c r="P172" i="5"/>
  <c r="P173" i="5"/>
  <c r="P174" i="5"/>
  <c r="P175" i="5"/>
  <c r="P180" i="5"/>
  <c r="Q22" i="5"/>
  <c r="Q23" i="5"/>
  <c r="H30" i="5"/>
  <c r="I30" i="5"/>
  <c r="J30" i="5"/>
  <c r="K30" i="5"/>
  <c r="L30" i="5"/>
  <c r="M30" i="5"/>
  <c r="N30" i="5"/>
  <c r="O30" i="5"/>
  <c r="P30" i="5"/>
  <c r="Q30" i="5"/>
  <c r="C35" i="5"/>
  <c r="C30" i="6" s="1"/>
  <c r="D35" i="5"/>
  <c r="D30" i="6" s="1"/>
  <c r="E35" i="5"/>
  <c r="E30" i="6" s="1"/>
  <c r="F35" i="5"/>
  <c r="F30" i="6" s="1"/>
  <c r="G35" i="5"/>
  <c r="G30" i="6" s="1"/>
  <c r="H204" i="5"/>
  <c r="H205" i="5"/>
  <c r="I204" i="5"/>
  <c r="I205" i="5"/>
  <c r="J204" i="5"/>
  <c r="J205" i="5"/>
  <c r="K204" i="5"/>
  <c r="K205" i="5"/>
  <c r="L204" i="5"/>
  <c r="L205" i="5"/>
  <c r="M204" i="5"/>
  <c r="M205" i="5"/>
  <c r="N204" i="5"/>
  <c r="N205" i="5"/>
  <c r="O204" i="5"/>
  <c r="O205" i="5"/>
  <c r="P204" i="5"/>
  <c r="P205" i="5"/>
  <c r="Q204" i="5"/>
  <c r="Q205" i="5"/>
  <c r="D42" i="5"/>
  <c r="E42" i="5"/>
  <c r="F42" i="5"/>
  <c r="G42" i="5"/>
  <c r="Q156" i="5"/>
  <c r="Q157" i="5"/>
  <c r="Q158" i="5"/>
  <c r="Q160" i="5"/>
  <c r="Q170" i="5"/>
  <c r="Q172" i="5"/>
  <c r="Q173" i="5"/>
  <c r="Q174" i="5"/>
  <c r="Q175" i="5"/>
  <c r="Q180" i="5"/>
  <c r="D49" i="5"/>
  <c r="E49" i="5"/>
  <c r="F49" i="5"/>
  <c r="G49" i="5"/>
  <c r="G51" i="5"/>
  <c r="D54" i="5"/>
  <c r="E54" i="5"/>
  <c r="F54" i="5"/>
  <c r="G54" i="5"/>
  <c r="C56" i="5"/>
  <c r="D56" i="5"/>
  <c r="F56" i="5"/>
  <c r="G56" i="5"/>
  <c r="C68" i="5"/>
  <c r="F57" i="2" s="1"/>
  <c r="D68" i="5"/>
  <c r="G57" i="2" s="1"/>
  <c r="E68" i="5"/>
  <c r="H57" i="2" s="1"/>
  <c r="F68" i="5"/>
  <c r="I57" i="2" s="1"/>
  <c r="C77" i="5"/>
  <c r="C121" i="5" s="1"/>
  <c r="D77" i="5"/>
  <c r="E77" i="5"/>
  <c r="H58" i="2" s="1"/>
  <c r="F77" i="5"/>
  <c r="G77" i="5"/>
  <c r="J58" i="2" s="1"/>
  <c r="C80" i="5"/>
  <c r="C188" i="5" s="1"/>
  <c r="D80" i="5"/>
  <c r="D188" i="5" s="1"/>
  <c r="E80" i="5"/>
  <c r="E188" i="5" s="1"/>
  <c r="F80" i="5"/>
  <c r="F188" i="5" s="1"/>
  <c r="G80" i="5"/>
  <c r="G188" i="5" s="1"/>
  <c r="F59" i="2"/>
  <c r="G59" i="2"/>
  <c r="H59" i="2"/>
  <c r="I59" i="2"/>
  <c r="F60" i="2"/>
  <c r="G60" i="2"/>
  <c r="E116" i="5"/>
  <c r="F116" i="5"/>
  <c r="J60" i="2"/>
  <c r="C97" i="5"/>
  <c r="D97" i="5"/>
  <c r="E97" i="5"/>
  <c r="F97" i="5"/>
  <c r="G97" i="5"/>
  <c r="H99" i="5"/>
  <c r="I99" i="5" s="1"/>
  <c r="J99" i="5" s="1"/>
  <c r="K99" i="5" s="1"/>
  <c r="L99" i="5" s="1"/>
  <c r="M99" i="5" s="1"/>
  <c r="N99" i="5" s="1"/>
  <c r="O99" i="5" s="1"/>
  <c r="P99" i="5" s="1"/>
  <c r="Q99" i="5" s="1"/>
  <c r="H100" i="5"/>
  <c r="I100" i="5" s="1"/>
  <c r="J100" i="5" s="1"/>
  <c r="K100" i="5" s="1"/>
  <c r="L100" i="5" s="1"/>
  <c r="M100" i="5" s="1"/>
  <c r="N100" i="5" s="1"/>
  <c r="O100" i="5" s="1"/>
  <c r="P100" i="5" s="1"/>
  <c r="Q100" i="5" s="1"/>
  <c r="H101" i="5"/>
  <c r="I101" i="5" s="1"/>
  <c r="J101" i="5" s="1"/>
  <c r="K101" i="5" s="1"/>
  <c r="L101" i="5" s="1"/>
  <c r="M101" i="5" s="1"/>
  <c r="N101" i="5" s="1"/>
  <c r="O101" i="5" s="1"/>
  <c r="P101" i="5" s="1"/>
  <c r="Q101" i="5" s="1"/>
  <c r="H102" i="5"/>
  <c r="I102" i="5" s="1"/>
  <c r="J102" i="5" s="1"/>
  <c r="K102" i="5" s="1"/>
  <c r="L102" i="5" s="1"/>
  <c r="M102" i="5" s="1"/>
  <c r="N102" i="5" s="1"/>
  <c r="O102" i="5" s="1"/>
  <c r="P102" i="5" s="1"/>
  <c r="Q102" i="5" s="1"/>
  <c r="G104" i="5"/>
  <c r="C104" i="5"/>
  <c r="D104" i="5"/>
  <c r="E104" i="5"/>
  <c r="F104" i="5"/>
  <c r="C107" i="5"/>
  <c r="D107" i="5"/>
  <c r="E107" i="5"/>
  <c r="F107" i="5"/>
  <c r="G107" i="5"/>
  <c r="C114" i="5"/>
  <c r="C115" i="5"/>
  <c r="D114" i="5"/>
  <c r="D115" i="5"/>
  <c r="E114" i="5"/>
  <c r="E115" i="5"/>
  <c r="F114" i="5"/>
  <c r="F115" i="5"/>
  <c r="G114" i="5"/>
  <c r="G115" i="5"/>
  <c r="D119" i="5"/>
  <c r="D120" i="5"/>
  <c r="E119" i="5"/>
  <c r="E120" i="5"/>
  <c r="F119" i="5"/>
  <c r="F120" i="5"/>
  <c r="G119" i="5"/>
  <c r="G120" i="5"/>
  <c r="E128" i="5"/>
  <c r="F128" i="5"/>
  <c r="G128" i="5"/>
  <c r="C135" i="5"/>
  <c r="E135" i="5"/>
  <c r="F135" i="5"/>
  <c r="G135" i="5"/>
  <c r="C136" i="5"/>
  <c r="D136" i="5"/>
  <c r="E136" i="5"/>
  <c r="F136" i="5"/>
  <c r="G136" i="5"/>
  <c r="C137" i="5"/>
  <c r="D137" i="5"/>
  <c r="E137" i="5"/>
  <c r="F137" i="5"/>
  <c r="G137" i="5"/>
  <c r="F76" i="2"/>
  <c r="G76" i="2"/>
  <c r="H76" i="2"/>
  <c r="I76" i="2"/>
  <c r="J76" i="2"/>
  <c r="C175" i="5"/>
  <c r="F92" i="2" s="1"/>
  <c r="D175" i="5"/>
  <c r="G92" i="2" s="1"/>
  <c r="E175" i="5"/>
  <c r="H92" i="2" s="1"/>
  <c r="F175" i="5"/>
  <c r="I92" i="2" s="1"/>
  <c r="G175" i="5"/>
  <c r="J92" i="2" s="1"/>
  <c r="C193" i="5"/>
  <c r="D193" i="5"/>
  <c r="E193" i="5"/>
  <c r="F193" i="5"/>
  <c r="G193" i="5"/>
  <c r="C194" i="5"/>
  <c r="D194" i="5"/>
  <c r="E194" i="5"/>
  <c r="F194" i="5"/>
  <c r="G194" i="5"/>
  <c r="C196" i="5"/>
  <c r="C198" i="5"/>
  <c r="D198" i="5"/>
  <c r="E198" i="5"/>
  <c r="F198" i="5"/>
  <c r="C7" i="2"/>
  <c r="B6" i="5" s="1"/>
  <c r="B17" i="6" s="1"/>
  <c r="B23" i="1" s="1"/>
  <c r="J8" i="2"/>
  <c r="I9" i="2"/>
  <c r="H9" i="2" s="1"/>
  <c r="K9" i="2"/>
  <c r="J11" i="2"/>
  <c r="J12" i="2"/>
  <c r="F26" i="2"/>
  <c r="G26" i="2"/>
  <c r="I26" i="2"/>
  <c r="J26" i="2"/>
  <c r="F32" i="2"/>
  <c r="G32" i="2"/>
  <c r="H32" i="2"/>
  <c r="I32" i="2"/>
  <c r="J32" i="2"/>
  <c r="F33" i="2"/>
  <c r="G33" i="2"/>
  <c r="H33" i="2"/>
  <c r="I33" i="2"/>
  <c r="J33" i="2"/>
  <c r="F34" i="2" a="1"/>
  <c r="F34" i="2" s="1"/>
  <c r="F36" i="2"/>
  <c r="G36" i="2"/>
  <c r="H36" i="2"/>
  <c r="I36" i="2"/>
  <c r="J36" i="2"/>
  <c r="F39" i="2"/>
  <c r="G39" i="2"/>
  <c r="H39" i="2"/>
  <c r="I39" i="2"/>
  <c r="J39" i="2"/>
  <c r="H40" i="2"/>
  <c r="I40" i="2"/>
  <c r="J40" i="2"/>
  <c r="F42" i="2"/>
  <c r="G42" i="2"/>
  <c r="H42" i="2"/>
  <c r="I42" i="2"/>
  <c r="F44" i="2"/>
  <c r="G44" i="2"/>
  <c r="H44" i="2"/>
  <c r="I44" i="2"/>
  <c r="J44" i="2"/>
  <c r="L44" i="2" s="1"/>
  <c r="M44" i="2" s="1"/>
  <c r="N44" i="2" s="1"/>
  <c r="O44" i="2" s="1"/>
  <c r="P44" i="2" s="1"/>
  <c r="Q44" i="2" s="1"/>
  <c r="R44" i="2" s="1"/>
  <c r="S44" i="2" s="1"/>
  <c r="T44" i="2" s="1"/>
  <c r="G48" i="2"/>
  <c r="H48" i="2"/>
  <c r="I48" i="2"/>
  <c r="J48" i="2"/>
  <c r="L48" i="2" s="1"/>
  <c r="M48" i="2" s="1"/>
  <c r="G49" i="2"/>
  <c r="H49" i="2"/>
  <c r="I49" i="2"/>
  <c r="J49" i="2"/>
  <c r="G51" i="2"/>
  <c r="H51" i="2"/>
  <c r="I51" i="2"/>
  <c r="J51" i="2"/>
  <c r="F71" i="2"/>
  <c r="G71" i="2"/>
  <c r="H71" i="2"/>
  <c r="I71" i="2"/>
  <c r="J71" i="2"/>
  <c r="F73" i="2"/>
  <c r="G73" i="2"/>
  <c r="H73" i="2"/>
  <c r="I73" i="2"/>
  <c r="J73" i="2"/>
  <c r="F74" i="2"/>
  <c r="G74" i="2"/>
  <c r="H74" i="2"/>
  <c r="I74" i="2"/>
  <c r="J74" i="2"/>
  <c r="F84" i="2"/>
  <c r="G84" i="2"/>
  <c r="H84" i="2"/>
  <c r="I84" i="2"/>
  <c r="J84" i="2"/>
  <c r="F87" i="2"/>
  <c r="G87" i="2"/>
  <c r="H87" i="2"/>
  <c r="I87" i="2"/>
  <c r="J87" i="2"/>
  <c r="F88" i="2"/>
  <c r="G88" i="2"/>
  <c r="H88" i="2"/>
  <c r="I88" i="2"/>
  <c r="J88" i="2"/>
  <c r="F89" i="2"/>
  <c r="F90" i="2"/>
  <c r="G90" i="2"/>
  <c r="H90" i="2"/>
  <c r="I90" i="2"/>
  <c r="J90" i="2"/>
  <c r="F91" i="2"/>
  <c r="G91" i="2"/>
  <c r="H91" i="2"/>
  <c r="I91" i="2"/>
  <c r="J91" i="2"/>
  <c r="F93" i="2"/>
  <c r="G93" i="2"/>
  <c r="H93" i="2"/>
  <c r="I93" i="2"/>
  <c r="J93" i="2"/>
  <c r="A1" i="1"/>
  <c r="A2" i="1"/>
  <c r="B2" i="1"/>
  <c r="A3" i="1"/>
  <c r="B3" i="1"/>
  <c r="J7" i="1" s="1"/>
  <c r="A4" i="1"/>
  <c r="B4" i="1"/>
  <c r="D71" i="6"/>
  <c r="B24" i="1"/>
  <c r="B25" i="1"/>
  <c r="H25" i="1"/>
  <c r="B27" i="1"/>
  <c r="B28" i="1"/>
  <c r="B29" i="1"/>
  <c r="B30" i="1"/>
  <c r="B31" i="1"/>
  <c r="B32" i="1"/>
  <c r="B33" i="1"/>
  <c r="B34" i="1"/>
  <c r="B35" i="1"/>
  <c r="B36" i="1"/>
  <c r="N48" i="2" l="1"/>
  <c r="J44" i="4"/>
  <c r="J35" i="4" s="1"/>
  <c r="I44" i="4"/>
  <c r="I35" i="4" s="1"/>
  <c r="E22" i="23"/>
  <c r="E6" i="23"/>
  <c r="E14" i="23"/>
  <c r="G25" i="23"/>
  <c r="K10" i="4"/>
  <c r="J38" i="4"/>
  <c r="G17" i="23"/>
  <c r="M164" i="5"/>
  <c r="M9" i="4"/>
  <c r="M37" i="4" s="1"/>
  <c r="M7" i="4"/>
  <c r="L35" i="4"/>
  <c r="M8" i="4"/>
  <c r="L37" i="4"/>
  <c r="G50" i="5"/>
  <c r="I22" i="2"/>
  <c r="I24" i="2" s="1"/>
  <c r="K26" i="1"/>
  <c r="G22" i="2"/>
  <c r="G24" i="2" s="1"/>
  <c r="R101" i="2"/>
  <c r="O197" i="5" s="1"/>
  <c r="Q86" i="2"/>
  <c r="Q103" i="2"/>
  <c r="K65" i="4"/>
  <c r="M65" i="4"/>
  <c r="M45" i="4" s="1"/>
  <c r="M72" i="5"/>
  <c r="R67" i="2"/>
  <c r="Q29" i="2"/>
  <c r="N15" i="5" s="1"/>
  <c r="N143" i="5" s="1"/>
  <c r="I31" i="2"/>
  <c r="H31" i="2"/>
  <c r="G31" i="2"/>
  <c r="K31" i="2"/>
  <c r="J31" i="2"/>
  <c r="G130" i="5"/>
  <c r="G131" i="5" s="1"/>
  <c r="G132" i="5" s="1"/>
  <c r="D50" i="5"/>
  <c r="F50" i="5"/>
  <c r="E50" i="5"/>
  <c r="J22" i="2"/>
  <c r="J24" i="2" s="1"/>
  <c r="H22" i="2"/>
  <c r="H24" i="2" s="1"/>
  <c r="L26" i="1"/>
  <c r="F22" i="2"/>
  <c r="F24" i="2" s="1"/>
  <c r="L203" i="5"/>
  <c r="E130" i="5"/>
  <c r="E131" i="5" s="1"/>
  <c r="E132" i="5" s="1"/>
  <c r="I26" i="1"/>
  <c r="F132" i="5"/>
  <c r="D132" i="5"/>
  <c r="I11" i="2"/>
  <c r="D111" i="5"/>
  <c r="D189" i="5"/>
  <c r="F36" i="5"/>
  <c r="F33" i="6" s="1"/>
  <c r="E108" i="5"/>
  <c r="H60" i="2"/>
  <c r="D199" i="5"/>
  <c r="G43" i="2" s="1"/>
  <c r="F58" i="2"/>
  <c r="C116" i="5"/>
  <c r="C113" i="5" s="1"/>
  <c r="F199" i="5"/>
  <c r="I43" i="2" s="1"/>
  <c r="F121" i="5"/>
  <c r="F118" i="5" s="1"/>
  <c r="F125" i="5" s="1"/>
  <c r="J14" i="2"/>
  <c r="J13" i="2"/>
  <c r="K8" i="2"/>
  <c r="K13" i="2" s="1"/>
  <c r="I8" i="2"/>
  <c r="I7" i="2" s="1"/>
  <c r="G5" i="4" s="1"/>
  <c r="G53" i="4" s="1"/>
  <c r="J7" i="2"/>
  <c r="H5" i="4" s="1"/>
  <c r="H53" i="4" s="1"/>
  <c r="I41" i="2"/>
  <c r="H41" i="2"/>
  <c r="G41" i="2"/>
  <c r="H135" i="5"/>
  <c r="K12" i="2"/>
  <c r="K11" i="2"/>
  <c r="L9" i="2"/>
  <c r="L8" i="2" s="1"/>
  <c r="I12" i="2"/>
  <c r="H8" i="2"/>
  <c r="H11" i="2"/>
  <c r="G9" i="2"/>
  <c r="H12" i="2"/>
  <c r="C4" i="4"/>
  <c r="N60" i="4"/>
  <c r="N44" i="4" s="1"/>
  <c r="N55" i="4"/>
  <c r="N21" i="4" s="1"/>
  <c r="H13" i="1"/>
  <c r="D13" i="1" s="1"/>
  <c r="F19" i="6"/>
  <c r="K25" i="1" s="1"/>
  <c r="H201" i="5"/>
  <c r="I201" i="5" s="1"/>
  <c r="J201" i="5" s="1"/>
  <c r="K201" i="5" s="1"/>
  <c r="L201" i="5" s="1"/>
  <c r="M201" i="5" s="1"/>
  <c r="N201" i="5" s="1"/>
  <c r="O201" i="5" s="1"/>
  <c r="P201" i="5" s="1"/>
  <c r="Q201" i="5" s="1"/>
  <c r="B8" i="1"/>
  <c r="H7" i="1"/>
  <c r="D30" i="4"/>
  <c r="D29" i="4"/>
  <c r="F23" i="4"/>
  <c r="E30" i="4"/>
  <c r="E29" i="4"/>
  <c r="E26" i="4"/>
  <c r="F26" i="4"/>
  <c r="F31" i="4" s="1"/>
  <c r="G23" i="4"/>
  <c r="G29" i="4"/>
  <c r="G30" i="4"/>
  <c r="G26" i="4"/>
  <c r="H23" i="4"/>
  <c r="G189" i="5"/>
  <c r="C36" i="5"/>
  <c r="C33" i="6" s="1"/>
  <c r="H12" i="1"/>
  <c r="D12" i="1" s="1"/>
  <c r="E113" i="5"/>
  <c r="I60" i="2"/>
  <c r="E199" i="5"/>
  <c r="H43" i="2" s="1"/>
  <c r="F113" i="5"/>
  <c r="C199" i="5"/>
  <c r="F43" i="2" s="1"/>
  <c r="F111" i="5"/>
  <c r="E111" i="5"/>
  <c r="G121" i="5"/>
  <c r="G118" i="5" s="1"/>
  <c r="G125" i="5" s="1"/>
  <c r="C118" i="5"/>
  <c r="C125" i="5" s="1"/>
  <c r="E121" i="5"/>
  <c r="E118" i="5" s="1"/>
  <c r="E125" i="5" s="1"/>
  <c r="D121" i="5"/>
  <c r="D118" i="5" s="1"/>
  <c r="D125" i="5" s="1"/>
  <c r="F108" i="5"/>
  <c r="D108" i="5"/>
  <c r="C108" i="5"/>
  <c r="G111" i="5"/>
  <c r="G199" i="5"/>
  <c r="G108" i="5"/>
  <c r="H202" i="5"/>
  <c r="H50" i="6" s="1"/>
  <c r="E36" i="5"/>
  <c r="E33" i="6" s="1"/>
  <c r="E189" i="5"/>
  <c r="H27" i="1"/>
  <c r="G116" i="5"/>
  <c r="G113" i="5" s="1"/>
  <c r="F39" i="6"/>
  <c r="G58" i="2"/>
  <c r="D116" i="5"/>
  <c r="D113" i="5" s="1"/>
  <c r="I58" i="2"/>
  <c r="E39" i="6"/>
  <c r="L24" i="1"/>
  <c r="G39" i="6"/>
  <c r="G19" i="6"/>
  <c r="L25" i="1" s="1"/>
  <c r="E56" i="5"/>
  <c r="E51" i="5"/>
  <c r="H26" i="2"/>
  <c r="H27" i="2" s="1"/>
  <c r="F51" i="5"/>
  <c r="C24" i="6"/>
  <c r="C25" i="6" s="1"/>
  <c r="H31" i="1" s="1"/>
  <c r="C55" i="5"/>
  <c r="G34" i="5"/>
  <c r="E55" i="5"/>
  <c r="F55" i="5"/>
  <c r="J28" i="1"/>
  <c r="C39" i="6"/>
  <c r="D19" i="6"/>
  <c r="I25" i="1" s="1"/>
  <c r="E19" i="6"/>
  <c r="J25" i="1" s="1"/>
  <c r="D39" i="6"/>
  <c r="J20" i="2"/>
  <c r="J27" i="2"/>
  <c r="I20" i="2"/>
  <c r="I27" i="2"/>
  <c r="H20" i="2"/>
  <c r="G27" i="2"/>
  <c r="G20" i="2"/>
  <c r="F27" i="2"/>
  <c r="H28" i="1"/>
  <c r="I50" i="2" l="1"/>
  <c r="O48" i="2"/>
  <c r="K45" i="4"/>
  <c r="K36" i="4" s="1"/>
  <c r="H25" i="23"/>
  <c r="H17" i="23"/>
  <c r="L10" i="4"/>
  <c r="K38" i="4"/>
  <c r="R103" i="2"/>
  <c r="F23" i="6"/>
  <c r="K29" i="1" s="1"/>
  <c r="K28" i="1"/>
  <c r="N8" i="4"/>
  <c r="M36" i="4"/>
  <c r="N7" i="4"/>
  <c r="M35" i="4"/>
  <c r="N9" i="4"/>
  <c r="N37" i="4" s="1"/>
  <c r="G50" i="2"/>
  <c r="L65" i="4"/>
  <c r="N85" i="5"/>
  <c r="N196" i="5" s="1"/>
  <c r="N164" i="5"/>
  <c r="S101" i="2"/>
  <c r="P197" i="5" s="1"/>
  <c r="R86" i="2"/>
  <c r="K60" i="2"/>
  <c r="L60" i="2" s="1"/>
  <c r="M60" i="2" s="1"/>
  <c r="N60" i="2" s="1"/>
  <c r="O60" i="2" s="1"/>
  <c r="P60" i="2" s="1"/>
  <c r="Q60" i="2" s="1"/>
  <c r="R60" i="2" s="1"/>
  <c r="S60" i="2" s="1"/>
  <c r="T60" i="2" s="1"/>
  <c r="S67" i="2"/>
  <c r="R29" i="2"/>
  <c r="O15" i="5" s="1"/>
  <c r="O143" i="5" s="1"/>
  <c r="N72" i="5"/>
  <c r="L28" i="1"/>
  <c r="J50" i="2"/>
  <c r="H23" i="2"/>
  <c r="J23" i="2"/>
  <c r="I23" i="2"/>
  <c r="G23" i="2"/>
  <c r="D23" i="6"/>
  <c r="I29" i="1" s="1"/>
  <c r="I28" i="1"/>
  <c r="L27" i="1"/>
  <c r="M203" i="5"/>
  <c r="K7" i="2"/>
  <c r="I5" i="4" s="1"/>
  <c r="I53" i="4" s="1"/>
  <c r="K14" i="2"/>
  <c r="K10" i="2" s="1"/>
  <c r="E19" i="5"/>
  <c r="E34" i="5" s="1"/>
  <c r="E187" i="5" s="1"/>
  <c r="J65" i="4"/>
  <c r="F58" i="5"/>
  <c r="F34" i="5"/>
  <c r="F59" i="5" s="1"/>
  <c r="G126" i="5"/>
  <c r="D25" i="5"/>
  <c r="D29" i="5" s="1"/>
  <c r="G35" i="2" s="1"/>
  <c r="D34" i="5"/>
  <c r="F123" i="5"/>
  <c r="L13" i="2"/>
  <c r="L14" i="2"/>
  <c r="H7" i="2"/>
  <c r="F5" i="4" s="1"/>
  <c r="F53" i="4" s="1"/>
  <c r="H13" i="2"/>
  <c r="H14" i="2"/>
  <c r="I13" i="2"/>
  <c r="I14" i="2"/>
  <c r="I65" i="4"/>
  <c r="F6" i="5"/>
  <c r="F17" i="6" s="1"/>
  <c r="K23" i="1" s="1"/>
  <c r="H33" i="4"/>
  <c r="G6" i="5"/>
  <c r="G17" i="6" s="1"/>
  <c r="L23" i="1" s="1"/>
  <c r="G33" i="4"/>
  <c r="C23" i="6"/>
  <c r="H29" i="1" s="1"/>
  <c r="M9" i="2"/>
  <c r="M11" i="2" s="1"/>
  <c r="L11" i="2"/>
  <c r="L7" i="2"/>
  <c r="J5" i="4" s="1"/>
  <c r="L12" i="2"/>
  <c r="G11" i="2"/>
  <c r="F9" i="2"/>
  <c r="G12" i="2"/>
  <c r="G8" i="2"/>
  <c r="D31" i="4"/>
  <c r="O60" i="4"/>
  <c r="O44" i="4" s="1"/>
  <c r="O55" i="4"/>
  <c r="O21" i="4" s="1"/>
  <c r="E31" i="4"/>
  <c r="G31" i="4"/>
  <c r="H31" i="4"/>
  <c r="D126" i="5"/>
  <c r="C123" i="5"/>
  <c r="E126" i="5"/>
  <c r="G123" i="5"/>
  <c r="D123" i="5"/>
  <c r="E123" i="5"/>
  <c r="J43" i="2"/>
  <c r="C57" i="6"/>
  <c r="I202" i="5"/>
  <c r="F126" i="5"/>
  <c r="C58" i="5"/>
  <c r="C34" i="5"/>
  <c r="C25" i="5"/>
  <c r="C29" i="5" s="1"/>
  <c r="F35" i="2" s="1"/>
  <c r="F25" i="5"/>
  <c r="F28" i="5" s="1"/>
  <c r="I104" i="2" s="1"/>
  <c r="G24" i="6"/>
  <c r="G29" i="6" s="1"/>
  <c r="F24" i="6"/>
  <c r="F29" i="6" s="1"/>
  <c r="H50" i="2"/>
  <c r="C29" i="6"/>
  <c r="C35" i="6" s="1"/>
  <c r="D24" i="6"/>
  <c r="D58" i="5"/>
  <c r="H30" i="1"/>
  <c r="J27" i="1"/>
  <c r="E23" i="6"/>
  <c r="J29" i="1" s="1"/>
  <c r="G25" i="5"/>
  <c r="G28" i="5" s="1"/>
  <c r="J104" i="2" s="1"/>
  <c r="G58" i="5"/>
  <c r="G26" i="6"/>
  <c r="G191" i="5"/>
  <c r="G59" i="5"/>
  <c r="G187" i="5"/>
  <c r="G192" i="5"/>
  <c r="P48" i="2" l="1"/>
  <c r="I45" i="4"/>
  <c r="I36" i="4" s="1"/>
  <c r="L45" i="4"/>
  <c r="L36" i="4" s="1"/>
  <c r="J45" i="4"/>
  <c r="J36" i="4" s="1"/>
  <c r="M10" i="4"/>
  <c r="L38" i="4"/>
  <c r="I25" i="23"/>
  <c r="I17" i="23"/>
  <c r="K27" i="1"/>
  <c r="N65" i="4"/>
  <c r="N45" i="4" s="1"/>
  <c r="N36" i="4" s="1"/>
  <c r="O65" i="4"/>
  <c r="O45" i="4" s="1"/>
  <c r="N35" i="4"/>
  <c r="O7" i="4"/>
  <c r="O9" i="4"/>
  <c r="O37" i="4" s="1"/>
  <c r="O8" i="4"/>
  <c r="O85" i="5"/>
  <c r="O196" i="5" s="1"/>
  <c r="O164" i="5"/>
  <c r="T101" i="2"/>
  <c r="S86" i="2"/>
  <c r="S103" i="2"/>
  <c r="O72" i="5"/>
  <c r="T67" i="2"/>
  <c r="T29" i="2" s="1"/>
  <c r="Q15" i="5" s="1"/>
  <c r="Q143" i="5" s="1"/>
  <c r="S29" i="2"/>
  <c r="P15" i="5" s="1"/>
  <c r="P143" i="5" s="1"/>
  <c r="I27" i="1"/>
  <c r="G23" i="6"/>
  <c r="L29" i="1" s="1"/>
  <c r="N203" i="5"/>
  <c r="E24" i="6"/>
  <c r="E25" i="6" s="1"/>
  <c r="J31" i="1" s="1"/>
  <c r="E58" i="5"/>
  <c r="E25" i="5"/>
  <c r="E29" i="5" s="1"/>
  <c r="H35" i="2" s="1"/>
  <c r="H6" i="5"/>
  <c r="H17" i="6" s="1"/>
  <c r="M23" i="1" s="1"/>
  <c r="I33" i="4"/>
  <c r="M8" i="2"/>
  <c r="M14" i="2" s="1"/>
  <c r="N9" i="2"/>
  <c r="N11" i="2" s="1"/>
  <c r="M12" i="2"/>
  <c r="D28" i="5"/>
  <c r="C26" i="6"/>
  <c r="C27" i="6" s="1"/>
  <c r="H33" i="1" s="1"/>
  <c r="C187" i="5"/>
  <c r="L10" i="2"/>
  <c r="E6" i="5"/>
  <c r="E17" i="6" s="1"/>
  <c r="J23" i="1" s="1"/>
  <c r="G13" i="2"/>
  <c r="G14" i="2"/>
  <c r="F33" i="4"/>
  <c r="J33" i="4"/>
  <c r="I6" i="5"/>
  <c r="I17" i="6" s="1"/>
  <c r="J53" i="4"/>
  <c r="G7" i="2"/>
  <c r="E5" i="4" s="1"/>
  <c r="F12" i="2"/>
  <c r="F11" i="2"/>
  <c r="F8" i="2"/>
  <c r="P65" i="4"/>
  <c r="P45" i="4" s="1"/>
  <c r="P60" i="4"/>
  <c r="P44" i="4" s="1"/>
  <c r="P55" i="4"/>
  <c r="P21" i="4" s="1"/>
  <c r="E59" i="5"/>
  <c r="E192" i="5"/>
  <c r="C191" i="5"/>
  <c r="C59" i="5"/>
  <c r="C28" i="5"/>
  <c r="F104" i="2" s="1"/>
  <c r="C192" i="5"/>
  <c r="D9" i="1"/>
  <c r="D59" i="6"/>
  <c r="D69" i="6"/>
  <c r="D58" i="6"/>
  <c r="D68" i="6"/>
  <c r="I50" i="6"/>
  <c r="J202" i="5"/>
  <c r="H11" i="1"/>
  <c r="D11" i="1" s="1"/>
  <c r="C67" i="6"/>
  <c r="D57" i="6"/>
  <c r="E191" i="5"/>
  <c r="E53" i="5"/>
  <c r="F26" i="6"/>
  <c r="K32" i="1" s="1"/>
  <c r="F29" i="5"/>
  <c r="I35" i="2" s="1"/>
  <c r="G53" i="5"/>
  <c r="K30" i="1"/>
  <c r="F25" i="6"/>
  <c r="K31" i="1" s="1"/>
  <c r="G25" i="6"/>
  <c r="L31" i="1" s="1"/>
  <c r="L30" i="1"/>
  <c r="F191" i="5"/>
  <c r="F53" i="5"/>
  <c r="F187" i="5"/>
  <c r="F192" i="5"/>
  <c r="E26" i="6"/>
  <c r="G29" i="5"/>
  <c r="J35" i="2" s="1"/>
  <c r="D187" i="5"/>
  <c r="D26" i="6"/>
  <c r="D27" i="6" s="1"/>
  <c r="I33" i="1" s="1"/>
  <c r="D59" i="5"/>
  <c r="D53" i="5"/>
  <c r="D191" i="5"/>
  <c r="D192" i="5"/>
  <c r="H35" i="1"/>
  <c r="D29" i="6"/>
  <c r="D25" i="6"/>
  <c r="I31" i="1" s="1"/>
  <c r="I30" i="1"/>
  <c r="F141" i="5"/>
  <c r="F152" i="5" s="1"/>
  <c r="I94" i="2"/>
  <c r="F41" i="5"/>
  <c r="F40" i="5"/>
  <c r="F57" i="5"/>
  <c r="G41" i="5"/>
  <c r="G57" i="5"/>
  <c r="J94" i="2"/>
  <c r="G141" i="5"/>
  <c r="G152" i="5" s="1"/>
  <c r="G40" i="5"/>
  <c r="G52" i="5"/>
  <c r="G27" i="6"/>
  <c r="L33" i="1" s="1"/>
  <c r="L32" i="1"/>
  <c r="C38" i="6"/>
  <c r="H36" i="1"/>
  <c r="F35" i="6"/>
  <c r="K35" i="1"/>
  <c r="G35" i="6"/>
  <c r="L35" i="1"/>
  <c r="T86" i="2" l="1"/>
  <c r="Q197" i="5"/>
  <c r="Q48" i="2"/>
  <c r="N10" i="4"/>
  <c r="M38" i="4"/>
  <c r="J17" i="23"/>
  <c r="J25" i="23"/>
  <c r="T103" i="2"/>
  <c r="P8" i="4"/>
  <c r="O36" i="4"/>
  <c r="P9" i="4"/>
  <c r="O35" i="4"/>
  <c r="P7" i="4"/>
  <c r="P85" i="5"/>
  <c r="P196" i="5" s="1"/>
  <c r="P164" i="5"/>
  <c r="Q85" i="5"/>
  <c r="Q196" i="5" s="1"/>
  <c r="Q164" i="5"/>
  <c r="M7" i="2"/>
  <c r="K5" i="4" s="1"/>
  <c r="K33" i="4" s="1"/>
  <c r="M13" i="2"/>
  <c r="P72" i="5"/>
  <c r="Q72" i="5" s="1"/>
  <c r="J30" i="1"/>
  <c r="G94" i="2"/>
  <c r="G104" i="2"/>
  <c r="E29" i="6"/>
  <c r="E35" i="6" s="1"/>
  <c r="E38" i="6" s="1"/>
  <c r="D141" i="5"/>
  <c r="D152" i="5" s="1"/>
  <c r="D37" i="5" s="1"/>
  <c r="D41" i="5"/>
  <c r="E28" i="5"/>
  <c r="F52" i="5" s="1"/>
  <c r="O203" i="5"/>
  <c r="D40" i="5"/>
  <c r="D57" i="5"/>
  <c r="N8" i="2"/>
  <c r="N13" i="2" s="1"/>
  <c r="O9" i="2"/>
  <c r="O12" i="2" s="1"/>
  <c r="N12" i="2"/>
  <c r="F94" i="2"/>
  <c r="C41" i="5"/>
  <c r="H32" i="1"/>
  <c r="D52" i="5"/>
  <c r="C141" i="5"/>
  <c r="C57" i="5"/>
  <c r="F14" i="2"/>
  <c r="F13" i="2"/>
  <c r="N23" i="1"/>
  <c r="E53" i="4"/>
  <c r="D6" i="5"/>
  <c r="D17" i="6" s="1"/>
  <c r="E33" i="4"/>
  <c r="F7" i="2"/>
  <c r="D5" i="4" s="1"/>
  <c r="M10" i="2"/>
  <c r="Q65" i="4"/>
  <c r="Q45" i="4" s="1"/>
  <c r="R65" i="4"/>
  <c r="R45" i="4" s="1"/>
  <c r="R60" i="4"/>
  <c r="R44" i="4" s="1"/>
  <c r="Q60" i="4"/>
  <c r="Q44" i="4" s="1"/>
  <c r="Q55" i="4"/>
  <c r="Q21" i="4" s="1"/>
  <c r="R55" i="4"/>
  <c r="R21" i="4" s="1"/>
  <c r="L35" i="2"/>
  <c r="H29" i="5"/>
  <c r="F4" i="6" s="1"/>
  <c r="F5" i="6" s="1"/>
  <c r="F12" i="6" s="1"/>
  <c r="C40" i="5"/>
  <c r="F27" i="6"/>
  <c r="K33" i="1" s="1"/>
  <c r="H9" i="1"/>
  <c r="H10" i="1" s="1"/>
  <c r="H14" i="1" s="1"/>
  <c r="D10" i="1"/>
  <c r="D14" i="1" s="1"/>
  <c r="D67" i="6"/>
  <c r="J50" i="6"/>
  <c r="K202" i="5"/>
  <c r="I32" i="1"/>
  <c r="E27" i="6"/>
  <c r="J33" i="1" s="1"/>
  <c r="J32" i="1"/>
  <c r="I35" i="1"/>
  <c r="D35" i="6"/>
  <c r="F38" i="6"/>
  <c r="K36" i="1"/>
  <c r="F178" i="5"/>
  <c r="F37" i="5"/>
  <c r="G178" i="5"/>
  <c r="G37" i="5"/>
  <c r="L36" i="1"/>
  <c r="G38" i="6"/>
  <c r="R48" i="2" l="1"/>
  <c r="K25" i="23"/>
  <c r="O10" i="4"/>
  <c r="N38" i="4"/>
  <c r="K17" i="23"/>
  <c r="Q9" i="4"/>
  <c r="Q37" i="4" s="1"/>
  <c r="Q8" i="4"/>
  <c r="P36" i="4"/>
  <c r="P35" i="4"/>
  <c r="Q7" i="4"/>
  <c r="P37" i="4"/>
  <c r="K53" i="4"/>
  <c r="J6" i="5"/>
  <c r="J17" i="6" s="1"/>
  <c r="D178" i="5"/>
  <c r="E57" i="5"/>
  <c r="H104" i="2"/>
  <c r="J36" i="1"/>
  <c r="J35" i="1"/>
  <c r="H94" i="2"/>
  <c r="E52" i="5"/>
  <c r="E141" i="5"/>
  <c r="E152" i="5" s="1"/>
  <c r="E37" i="5" s="1"/>
  <c r="E40" i="5"/>
  <c r="E41" i="5"/>
  <c r="Q203" i="5"/>
  <c r="P203" i="5"/>
  <c r="N14" i="2"/>
  <c r="N10" i="2" s="1"/>
  <c r="N7" i="2"/>
  <c r="L5" i="4" s="1"/>
  <c r="L53" i="4" s="1"/>
  <c r="P9" i="2"/>
  <c r="P11" i="2" s="1"/>
  <c r="O11" i="2"/>
  <c r="O8" i="2"/>
  <c r="O13" i="2" s="1"/>
  <c r="C152" i="5"/>
  <c r="C37" i="5" s="1"/>
  <c r="D33" i="4"/>
  <c r="D53" i="4"/>
  <c r="C6" i="5"/>
  <c r="C17" i="6" s="1"/>
  <c r="I23" i="1"/>
  <c r="M35" i="2"/>
  <c r="I29" i="5"/>
  <c r="K50" i="6"/>
  <c r="L202" i="5"/>
  <c r="D38" i="6"/>
  <c r="I36" i="1"/>
  <c r="S48" i="2" l="1"/>
  <c r="M90" i="6"/>
  <c r="L90" i="6" s="1"/>
  <c r="O90" i="6"/>
  <c r="P90" i="6" s="1"/>
  <c r="E90" i="6"/>
  <c r="D90" i="6" s="1"/>
  <c r="G90" i="6"/>
  <c r="H90" i="6" s="1"/>
  <c r="M78" i="6"/>
  <c r="L78" i="6" s="1"/>
  <c r="O78" i="6"/>
  <c r="P78" i="6" s="1"/>
  <c r="L17" i="23"/>
  <c r="P10" i="4"/>
  <c r="O38" i="4"/>
  <c r="L25" i="23"/>
  <c r="O23" i="1"/>
  <c r="R8" i="4"/>
  <c r="Q36" i="4"/>
  <c r="Q35" i="4"/>
  <c r="R7" i="4"/>
  <c r="R9" i="4"/>
  <c r="Q9" i="2"/>
  <c r="Q11" i="2" s="1"/>
  <c r="P8" i="2"/>
  <c r="P13" i="2" s="1"/>
  <c r="E178" i="5"/>
  <c r="O7" i="2"/>
  <c r="M5" i="4" s="1"/>
  <c r="M53" i="4" s="1"/>
  <c r="O14" i="2"/>
  <c r="O10" i="2" s="1"/>
  <c r="P12" i="2"/>
  <c r="K6" i="5"/>
  <c r="K17" i="6" s="1"/>
  <c r="P23" i="1" s="1"/>
  <c r="L33" i="4"/>
  <c r="C178" i="5"/>
  <c r="C181" i="5" s="1"/>
  <c r="H23" i="1"/>
  <c r="N35" i="2"/>
  <c r="J29" i="5"/>
  <c r="L50" i="6"/>
  <c r="M202" i="5"/>
  <c r="T48" i="2" l="1"/>
  <c r="M25" i="23"/>
  <c r="M17" i="23"/>
  <c r="Q10" i="4"/>
  <c r="P38" i="4"/>
  <c r="Q8" i="2"/>
  <c r="Q12" i="2"/>
  <c r="R9" i="2"/>
  <c r="R11" i="2" s="1"/>
  <c r="R35" i="4"/>
  <c r="R37" i="4"/>
  <c r="R36" i="4"/>
  <c r="P7" i="2"/>
  <c r="N5" i="4" s="1"/>
  <c r="M6" i="5" s="1"/>
  <c r="M17" i="6" s="1"/>
  <c r="R23" i="1" s="1"/>
  <c r="P14" i="2"/>
  <c r="P10" i="2" s="1"/>
  <c r="M33" i="4"/>
  <c r="L6" i="5"/>
  <c r="L17" i="6" s="1"/>
  <c r="Q23" i="1" s="1"/>
  <c r="D181" i="5"/>
  <c r="Q14" i="2"/>
  <c r="Q13" i="2"/>
  <c r="Q7" i="2"/>
  <c r="O5" i="4" s="1"/>
  <c r="S9" i="2"/>
  <c r="O35" i="2"/>
  <c r="K29" i="5"/>
  <c r="M50" i="6"/>
  <c r="N202" i="5"/>
  <c r="N25" i="23" l="1"/>
  <c r="R10" i="4"/>
  <c r="N17" i="23"/>
  <c r="Q38" i="4"/>
  <c r="R12" i="2"/>
  <c r="R8" i="2"/>
  <c r="R13" i="2" s="1"/>
  <c r="N33" i="4"/>
  <c r="N53" i="4"/>
  <c r="E181" i="5"/>
  <c r="R14" i="2"/>
  <c r="R7" i="2"/>
  <c r="P5" i="4" s="1"/>
  <c r="S11" i="2"/>
  <c r="S12" i="2"/>
  <c r="S8" i="2"/>
  <c r="T9" i="2"/>
  <c r="O53" i="4"/>
  <c r="O33" i="4"/>
  <c r="N6" i="5"/>
  <c r="N17" i="6" s="1"/>
  <c r="S23" i="1" s="1"/>
  <c r="Q10" i="2"/>
  <c r="P35" i="2"/>
  <c r="L29" i="5"/>
  <c r="N50" i="6"/>
  <c r="O202" i="5"/>
  <c r="R38" i="4" l="1"/>
  <c r="O17" i="23"/>
  <c r="O25" i="23"/>
  <c r="F181" i="5"/>
  <c r="S14" i="2"/>
  <c r="S13" i="2"/>
  <c r="S7" i="2"/>
  <c r="Q5" i="4" s="1"/>
  <c r="P53" i="4"/>
  <c r="O6" i="5"/>
  <c r="O17" i="6" s="1"/>
  <c r="T23" i="1" s="1"/>
  <c r="P33" i="4"/>
  <c r="T12" i="2"/>
  <c r="T8" i="2"/>
  <c r="T11" i="2"/>
  <c r="R10" i="2"/>
  <c r="Q35" i="2"/>
  <c r="M29" i="5"/>
  <c r="O50" i="6"/>
  <c r="P202" i="5"/>
  <c r="G181" i="5" l="1"/>
  <c r="T14" i="2"/>
  <c r="T13" i="2"/>
  <c r="P6" i="5"/>
  <c r="P17" i="6" s="1"/>
  <c r="U23" i="1" s="1"/>
  <c r="Q33" i="4"/>
  <c r="Q53" i="4"/>
  <c r="S10" i="2"/>
  <c r="T7" i="2"/>
  <c r="R5" i="4" s="1"/>
  <c r="R35" i="2"/>
  <c r="N29" i="5"/>
  <c r="P50" i="6"/>
  <c r="Q202" i="5"/>
  <c r="Q50" i="6" s="1"/>
  <c r="T10" i="2" l="1"/>
  <c r="R53" i="4"/>
  <c r="Q6" i="5"/>
  <c r="Q17" i="6" s="1"/>
  <c r="V23" i="1" s="1"/>
  <c r="R33" i="4"/>
  <c r="S35" i="2"/>
  <c r="O29" i="5"/>
  <c r="T35" i="2" l="1"/>
  <c r="Q29" i="5" s="1"/>
  <c r="P29" i="5"/>
  <c r="M94" i="5" l="1"/>
  <c r="M159" i="5"/>
  <c r="I94" i="5"/>
  <c r="J94" i="5"/>
  <c r="J159" i="5"/>
  <c r="P159" i="5"/>
  <c r="P94" i="5"/>
  <c r="L94" i="5"/>
  <c r="L159" i="5"/>
  <c r="N94" i="5"/>
  <c r="N159" i="5"/>
  <c r="I159" i="5" l="1"/>
  <c r="O94" i="5"/>
  <c r="O159" i="5"/>
  <c r="Q94" i="5"/>
  <c r="Q159" i="5"/>
  <c r="H94" i="5"/>
  <c r="K94" i="5"/>
  <c r="K159" i="5" l="1"/>
  <c r="I169" i="5" l="1"/>
  <c r="J169" i="5" l="1"/>
  <c r="K169" i="5"/>
  <c r="P169" i="5"/>
  <c r="L169" i="5"/>
  <c r="O169" i="5"/>
  <c r="M169" i="5"/>
  <c r="Q169" i="5"/>
  <c r="N169" i="5"/>
  <c r="H144" i="5" l="1"/>
  <c r="H33" i="5" s="1"/>
  <c r="H32" i="6" s="1"/>
  <c r="H137" i="5" l="1"/>
  <c r="I137" i="5" l="1"/>
  <c r="J137" i="5" l="1"/>
  <c r="K137" i="5" l="1"/>
  <c r="L137" i="5" l="1"/>
  <c r="M137" i="5" l="1"/>
  <c r="N137" i="5" l="1"/>
  <c r="O137" i="5" l="1"/>
  <c r="P137" i="5" l="1"/>
  <c r="Q137" i="5" l="1"/>
  <c r="H21" i="5" l="1"/>
  <c r="D20" i="1" l="1"/>
  <c r="H21" i="1" l="1"/>
  <c r="D21" i="1" s="1"/>
  <c r="H203" i="5"/>
  <c r="H169" i="5"/>
  <c r="F8" i="23" l="1"/>
  <c r="G8" i="23" s="1"/>
  <c r="I11" i="4"/>
  <c r="J11" i="4" s="1"/>
  <c r="J39" i="4" s="1"/>
  <c r="J41" i="4" s="1"/>
  <c r="I39" i="4" l="1"/>
  <c r="I41" i="4" s="1"/>
  <c r="I11" i="5"/>
  <c r="I26" i="4"/>
  <c r="I28" i="4"/>
  <c r="I27" i="4"/>
  <c r="I30" i="4"/>
  <c r="I29" i="4"/>
  <c r="J13" i="4"/>
  <c r="J50" i="4" s="1"/>
  <c r="I13" i="4"/>
  <c r="J26" i="4"/>
  <c r="J27" i="4"/>
  <c r="J30" i="4"/>
  <c r="J29" i="4"/>
  <c r="J28" i="4"/>
  <c r="K11" i="4"/>
  <c r="G9" i="23"/>
  <c r="H8" i="23"/>
  <c r="F9" i="23"/>
  <c r="H11" i="5" l="1"/>
  <c r="I50" i="4"/>
  <c r="J31" i="4"/>
  <c r="H9" i="23"/>
  <c r="I8" i="23"/>
  <c r="I23" i="4"/>
  <c r="H9" i="5"/>
  <c r="J23" i="4"/>
  <c r="I9" i="5"/>
  <c r="I31" i="4"/>
  <c r="K26" i="4"/>
  <c r="K27" i="4"/>
  <c r="K29" i="4"/>
  <c r="K30" i="4"/>
  <c r="L11" i="4"/>
  <c r="K39" i="4"/>
  <c r="K41" i="4" s="1"/>
  <c r="K28" i="4"/>
  <c r="K13" i="4"/>
  <c r="I75" i="5" l="1"/>
  <c r="I18" i="6"/>
  <c r="I38" i="5"/>
  <c r="I145" i="5" s="1"/>
  <c r="I65" i="5"/>
  <c r="I92" i="5"/>
  <c r="I116" i="5" s="1"/>
  <c r="I87" i="5"/>
  <c r="I155" i="5"/>
  <c r="I71" i="5"/>
  <c r="I49" i="5"/>
  <c r="L19" i="2"/>
  <c r="I10" i="5"/>
  <c r="I20" i="6" s="1"/>
  <c r="I21" i="6" s="1"/>
  <c r="I9" i="23"/>
  <c r="J8" i="23"/>
  <c r="H65" i="5"/>
  <c r="H92" i="5"/>
  <c r="H116" i="5" s="1"/>
  <c r="H87" i="5"/>
  <c r="H75" i="5"/>
  <c r="H155" i="5"/>
  <c r="H18" i="6"/>
  <c r="H22" i="6" s="1"/>
  <c r="H49" i="5"/>
  <c r="H76" i="5"/>
  <c r="I76" i="5" s="1"/>
  <c r="J76" i="5" s="1"/>
  <c r="K76" i="5" s="1"/>
  <c r="L76" i="5" s="1"/>
  <c r="M76" i="5" s="1"/>
  <c r="N76" i="5" s="1"/>
  <c r="O76" i="5" s="1"/>
  <c r="P76" i="5" s="1"/>
  <c r="Q76" i="5" s="1"/>
  <c r="H71" i="5"/>
  <c r="K19" i="2"/>
  <c r="H38" i="5"/>
  <c r="H145" i="5" s="1"/>
  <c r="H10" i="5"/>
  <c r="H20" i="6" s="1"/>
  <c r="L30" i="4"/>
  <c r="L27" i="4"/>
  <c r="L26" i="4"/>
  <c r="L28" i="4"/>
  <c r="L29" i="4"/>
  <c r="M11" i="4"/>
  <c r="L39" i="4"/>
  <c r="L41" i="4" s="1"/>
  <c r="L13" i="4"/>
  <c r="K31" i="4"/>
  <c r="K23" i="4"/>
  <c r="J9" i="5"/>
  <c r="H55" i="5"/>
  <c r="K50" i="4"/>
  <c r="J11" i="5"/>
  <c r="I55" i="5"/>
  <c r="I22" i="6" l="1"/>
  <c r="H21" i="6"/>
  <c r="J55" i="5"/>
  <c r="M26" i="4"/>
  <c r="M27" i="4"/>
  <c r="M29" i="4"/>
  <c r="M28" i="4"/>
  <c r="M30" i="4"/>
  <c r="M39" i="4"/>
  <c r="M41" i="4" s="1"/>
  <c r="M13" i="4"/>
  <c r="N11" i="4"/>
  <c r="H136" i="5"/>
  <c r="H120" i="5"/>
  <c r="I142" i="5"/>
  <c r="I161" i="5"/>
  <c r="I35" i="5"/>
  <c r="I30" i="6" s="1"/>
  <c r="I39" i="6" s="1"/>
  <c r="I149" i="5"/>
  <c r="H149" i="5"/>
  <c r="J38" i="5"/>
  <c r="J145" i="5" s="1"/>
  <c r="J65" i="5"/>
  <c r="J92" i="5"/>
  <c r="J116" i="5" s="1"/>
  <c r="J75" i="5"/>
  <c r="J71" i="5"/>
  <c r="J155" i="5"/>
  <c r="J18" i="6"/>
  <c r="J10" i="5"/>
  <c r="J20" i="6" s="1"/>
  <c r="J87" i="5"/>
  <c r="M19" i="2"/>
  <c r="M49" i="2" s="1"/>
  <c r="J49" i="5"/>
  <c r="K8" i="23"/>
  <c r="J9" i="23"/>
  <c r="L22" i="2"/>
  <c r="I50" i="5"/>
  <c r="L23" i="4"/>
  <c r="K9" i="5"/>
  <c r="K22" i="2"/>
  <c r="H50" i="5"/>
  <c r="M28" i="1"/>
  <c r="H35" i="5"/>
  <c r="H30" i="6" s="1"/>
  <c r="H39" i="6" s="1"/>
  <c r="H161" i="5"/>
  <c r="L49" i="2"/>
  <c r="I67" i="5" s="1"/>
  <c r="L58" i="2"/>
  <c r="I77" i="5" s="1"/>
  <c r="I121" i="5" s="1"/>
  <c r="L59" i="2"/>
  <c r="I88" i="5" s="1"/>
  <c r="L57" i="2"/>
  <c r="I68" i="5" s="1"/>
  <c r="L26" i="2"/>
  <c r="I13" i="5" s="1"/>
  <c r="L20" i="2"/>
  <c r="I19" i="6"/>
  <c r="N25" i="1" s="1"/>
  <c r="N24" i="1"/>
  <c r="L31" i="4"/>
  <c r="H19" i="6"/>
  <c r="M25" i="1" s="1"/>
  <c r="M24" i="1"/>
  <c r="L50" i="4"/>
  <c r="K11" i="5"/>
  <c r="K58" i="2"/>
  <c r="H77" i="5" s="1"/>
  <c r="H121" i="5" s="1"/>
  <c r="K59" i="2"/>
  <c r="H88" i="5" s="1"/>
  <c r="K49" i="2"/>
  <c r="H67" i="5" s="1"/>
  <c r="K57" i="2"/>
  <c r="H68" i="5" s="1"/>
  <c r="K41" i="2"/>
  <c r="K20" i="2"/>
  <c r="K26" i="2"/>
  <c r="H13" i="5" s="1"/>
  <c r="I136" i="5"/>
  <c r="I120" i="5"/>
  <c r="J142" i="5"/>
  <c r="J22" i="6" l="1"/>
  <c r="J21" i="6"/>
  <c r="I78" i="5"/>
  <c r="H151" i="5"/>
  <c r="I151" i="5"/>
  <c r="H148" i="5"/>
  <c r="I128" i="5"/>
  <c r="I129" i="5" s="1"/>
  <c r="H128" i="5"/>
  <c r="H129" i="5" s="1"/>
  <c r="M50" i="4"/>
  <c r="L11" i="5"/>
  <c r="I51" i="5"/>
  <c r="I56" i="5"/>
  <c r="I17" i="5"/>
  <c r="H17" i="5"/>
  <c r="H56" i="5"/>
  <c r="H51" i="5"/>
  <c r="L24" i="2"/>
  <c r="L23" i="2"/>
  <c r="K55" i="5"/>
  <c r="M58" i="2"/>
  <c r="J77" i="5" s="1"/>
  <c r="J121" i="5" s="1"/>
  <c r="J67" i="5"/>
  <c r="M26" i="2"/>
  <c r="J13" i="5" s="1"/>
  <c r="M59" i="2"/>
  <c r="J88" i="5" s="1"/>
  <c r="M57" i="2"/>
  <c r="J68" i="5" s="1"/>
  <c r="M20" i="2"/>
  <c r="N26" i="1"/>
  <c r="J161" i="5"/>
  <c r="J35" i="5"/>
  <c r="J30" i="6" s="1"/>
  <c r="J39" i="6" s="1"/>
  <c r="H78" i="5"/>
  <c r="K24" i="2"/>
  <c r="K23" i="2"/>
  <c r="N30" i="4"/>
  <c r="N29" i="4"/>
  <c r="N28" i="4"/>
  <c r="N26" i="4"/>
  <c r="N13" i="4"/>
  <c r="N27" i="4"/>
  <c r="N39" i="4"/>
  <c r="N41" i="4" s="1"/>
  <c r="O11" i="4"/>
  <c r="M26" i="1"/>
  <c r="I135" i="5"/>
  <c r="I144" i="5"/>
  <c r="I33" i="5" s="1"/>
  <c r="I32" i="6" s="1"/>
  <c r="L41" i="2"/>
  <c r="M22" i="2"/>
  <c r="O28" i="1"/>
  <c r="J50" i="5"/>
  <c r="J19" i="6"/>
  <c r="O25" i="1" s="1"/>
  <c r="O24" i="1"/>
  <c r="I148" i="5"/>
  <c r="M31" i="4"/>
  <c r="J136" i="5"/>
  <c r="J120" i="5"/>
  <c r="K142" i="5"/>
  <c r="J144" i="5"/>
  <c r="J33" i="5" s="1"/>
  <c r="J32" i="6" s="1"/>
  <c r="J135" i="5"/>
  <c r="M41" i="2"/>
  <c r="J149" i="5"/>
  <c r="N28" i="1"/>
  <c r="K75" i="5"/>
  <c r="K155" i="5"/>
  <c r="K87" i="5"/>
  <c r="K92" i="5"/>
  <c r="K116" i="5" s="1"/>
  <c r="K65" i="5"/>
  <c r="K18" i="6"/>
  <c r="K71" i="5"/>
  <c r="K49" i="5"/>
  <c r="K10" i="5"/>
  <c r="K20" i="6" s="1"/>
  <c r="N19" i="2"/>
  <c r="N49" i="2" s="1"/>
  <c r="K38" i="5"/>
  <c r="K145" i="5" s="1"/>
  <c r="K9" i="23"/>
  <c r="L8" i="23"/>
  <c r="M23" i="4"/>
  <c r="L9" i="5"/>
  <c r="K21" i="6" l="1"/>
  <c r="K22" i="6"/>
  <c r="J78" i="5"/>
  <c r="J151" i="5"/>
  <c r="N31" i="4"/>
  <c r="N23" i="4"/>
  <c r="M9" i="5"/>
  <c r="I19" i="5"/>
  <c r="L51" i="2"/>
  <c r="I83" i="5" s="1"/>
  <c r="N58" i="2"/>
  <c r="K77" i="5" s="1"/>
  <c r="K121" i="5" s="1"/>
  <c r="N26" i="2"/>
  <c r="K13" i="5" s="1"/>
  <c r="N59" i="2"/>
  <c r="K88" i="5" s="1"/>
  <c r="K67" i="5"/>
  <c r="N20" i="2"/>
  <c r="N57" i="2"/>
  <c r="K68" i="5" s="1"/>
  <c r="K50" i="5"/>
  <c r="N22" i="2"/>
  <c r="P28" i="1"/>
  <c r="K35" i="5"/>
  <c r="K30" i="6" s="1"/>
  <c r="K39" i="6" s="1"/>
  <c r="K161" i="5"/>
  <c r="L75" i="5"/>
  <c r="L87" i="5"/>
  <c r="L38" i="5"/>
  <c r="L145" i="5" s="1"/>
  <c r="L92" i="5"/>
  <c r="L116" i="5" s="1"/>
  <c r="L65" i="5"/>
  <c r="O19" i="2"/>
  <c r="O49" i="2" s="1"/>
  <c r="L71" i="5"/>
  <c r="L18" i="6"/>
  <c r="L10" i="5"/>
  <c r="L20" i="6" s="1"/>
  <c r="L155" i="5"/>
  <c r="L49" i="5"/>
  <c r="P24" i="1"/>
  <c r="K19" i="6"/>
  <c r="P25" i="1" s="1"/>
  <c r="M8" i="23"/>
  <c r="L9" i="23"/>
  <c r="K144" i="5"/>
  <c r="K33" i="5" s="1"/>
  <c r="K32" i="6" s="1"/>
  <c r="N41" i="2"/>
  <c r="K135" i="5"/>
  <c r="J51" i="5"/>
  <c r="J17" i="5"/>
  <c r="J56" i="5"/>
  <c r="L55" i="5"/>
  <c r="M27" i="1"/>
  <c r="H23" i="6"/>
  <c r="M29" i="1" s="1"/>
  <c r="J148" i="5"/>
  <c r="J128" i="5"/>
  <c r="J129" i="5" s="1"/>
  <c r="L142" i="5"/>
  <c r="K136" i="5"/>
  <c r="K120" i="5"/>
  <c r="O26" i="1"/>
  <c r="O27" i="4"/>
  <c r="O29" i="4"/>
  <c r="O28" i="4"/>
  <c r="O26" i="4"/>
  <c r="O30" i="4"/>
  <c r="O39" i="4"/>
  <c r="O41" i="4" s="1"/>
  <c r="O13" i="4"/>
  <c r="P11" i="4"/>
  <c r="I23" i="6"/>
  <c r="N29" i="1" s="1"/>
  <c r="N27" i="1"/>
  <c r="H19" i="5"/>
  <c r="K51" i="2"/>
  <c r="H83" i="5" s="1"/>
  <c r="M23" i="2"/>
  <c r="M24" i="2"/>
  <c r="N50" i="4"/>
  <c r="M11" i="5"/>
  <c r="K149" i="5"/>
  <c r="L22" i="6" l="1"/>
  <c r="L21" i="6"/>
  <c r="K78" i="5"/>
  <c r="K151" i="5"/>
  <c r="O23" i="4"/>
  <c r="N9" i="5"/>
  <c r="O50" i="4"/>
  <c r="N11" i="5"/>
  <c r="K148" i="5"/>
  <c r="K128" i="5"/>
  <c r="K129" i="5" s="1"/>
  <c r="H150" i="5"/>
  <c r="H147" i="5" s="1"/>
  <c r="H89" i="5"/>
  <c r="H130" i="5"/>
  <c r="H131" i="5" s="1"/>
  <c r="H132" i="5" s="1"/>
  <c r="I130" i="5"/>
  <c r="I131" i="5" s="1"/>
  <c r="I132" i="5" s="1"/>
  <c r="O31" i="4"/>
  <c r="H58" i="5"/>
  <c r="H34" i="5"/>
  <c r="H24" i="6"/>
  <c r="H25" i="5"/>
  <c r="N23" i="2"/>
  <c r="N24" i="2"/>
  <c r="K17" i="5"/>
  <c r="K51" i="5"/>
  <c r="K56" i="5"/>
  <c r="L149" i="5"/>
  <c r="O22" i="2"/>
  <c r="L50" i="5"/>
  <c r="Q28" i="1"/>
  <c r="P26" i="1"/>
  <c r="L144" i="5"/>
  <c r="L33" i="5" s="1"/>
  <c r="L32" i="6" s="1"/>
  <c r="L135" i="5"/>
  <c r="O41" i="2"/>
  <c r="L35" i="5"/>
  <c r="L30" i="6" s="1"/>
  <c r="L39" i="6" s="1"/>
  <c r="L161" i="5"/>
  <c r="M55" i="5"/>
  <c r="L19" i="6"/>
  <c r="Q25" i="1" s="1"/>
  <c r="Q24" i="1"/>
  <c r="I150" i="5"/>
  <c r="I147" i="5" s="1"/>
  <c r="I89" i="5"/>
  <c r="P26" i="4"/>
  <c r="P27" i="4"/>
  <c r="P39" i="4"/>
  <c r="P41" i="4" s="1"/>
  <c r="P30" i="4"/>
  <c r="P28" i="4"/>
  <c r="P29" i="4"/>
  <c r="Q11" i="4"/>
  <c r="P13" i="4"/>
  <c r="J23" i="6"/>
  <c r="O29" i="1" s="1"/>
  <c r="O27" i="1"/>
  <c r="J19" i="5"/>
  <c r="M51" i="2"/>
  <c r="J83" i="5" s="1"/>
  <c r="N8" i="23"/>
  <c r="M9" i="23"/>
  <c r="L136" i="5"/>
  <c r="L120" i="5"/>
  <c r="M142" i="5"/>
  <c r="I24" i="6"/>
  <c r="I58" i="5"/>
  <c r="I34" i="5"/>
  <c r="O26" i="2"/>
  <c r="L13" i="5" s="1"/>
  <c r="O59" i="2"/>
  <c r="L88" i="5" s="1"/>
  <c r="O20" i="2"/>
  <c r="O58" i="2"/>
  <c r="L77" i="5" s="1"/>
  <c r="L78" i="5" s="1"/>
  <c r="L67" i="5"/>
  <c r="L148" i="5" s="1"/>
  <c r="O57" i="2"/>
  <c r="L68" i="5" s="1"/>
  <c r="M75" i="5"/>
  <c r="M87" i="5"/>
  <c r="M18" i="6"/>
  <c r="M155" i="5"/>
  <c r="M65" i="5"/>
  <c r="M92" i="5"/>
  <c r="M116" i="5" s="1"/>
  <c r="M10" i="5"/>
  <c r="M20" i="6" s="1"/>
  <c r="M49" i="5"/>
  <c r="P19" i="2"/>
  <c r="P49" i="2" s="1"/>
  <c r="M71" i="5"/>
  <c r="M38" i="5"/>
  <c r="M145" i="5" s="1"/>
  <c r="M21" i="6" l="1"/>
  <c r="M22" i="6"/>
  <c r="L151" i="5"/>
  <c r="H25" i="6"/>
  <c r="M31" i="1" s="1"/>
  <c r="M30" i="1"/>
  <c r="N30" i="1"/>
  <c r="I25" i="6"/>
  <c r="N31" i="1" s="1"/>
  <c r="K19" i="5"/>
  <c r="N51" i="2"/>
  <c r="K83" i="5" s="1"/>
  <c r="K130" i="5" s="1"/>
  <c r="K131" i="5" s="1"/>
  <c r="K132" i="5" s="1"/>
  <c r="M35" i="5"/>
  <c r="M30" i="6" s="1"/>
  <c r="M39" i="6" s="1"/>
  <c r="M161" i="5"/>
  <c r="M144" i="5"/>
  <c r="M33" i="5" s="1"/>
  <c r="M32" i="6" s="1"/>
  <c r="P41" i="2"/>
  <c r="M135" i="5"/>
  <c r="P50" i="4"/>
  <c r="O11" i="5"/>
  <c r="L17" i="5"/>
  <c r="L56" i="5"/>
  <c r="L51" i="5"/>
  <c r="P31" i="4"/>
  <c r="P23" i="4"/>
  <c r="O9" i="5"/>
  <c r="Q26" i="4"/>
  <c r="Q27" i="4"/>
  <c r="Q30" i="4"/>
  <c r="Q28" i="4"/>
  <c r="Q29" i="4"/>
  <c r="Q39" i="4"/>
  <c r="Q41" i="4" s="1"/>
  <c r="R11" i="4"/>
  <c r="Q13" i="4"/>
  <c r="N65" i="5"/>
  <c r="N149" i="5" s="1"/>
  <c r="N75" i="5"/>
  <c r="N38" i="5"/>
  <c r="N145" i="5" s="1"/>
  <c r="N71" i="5"/>
  <c r="N155" i="5"/>
  <c r="N18" i="6"/>
  <c r="N87" i="5"/>
  <c r="N49" i="5"/>
  <c r="N92" i="5"/>
  <c r="N116" i="5" s="1"/>
  <c r="N10" i="5"/>
  <c r="N20" i="6" s="1"/>
  <c r="Q19" i="2"/>
  <c r="Q49" i="2" s="1"/>
  <c r="J150" i="5"/>
  <c r="J147" i="5" s="1"/>
  <c r="J89" i="5"/>
  <c r="L128" i="5"/>
  <c r="L129" i="5" s="1"/>
  <c r="H189" i="5"/>
  <c r="H36" i="5"/>
  <c r="H33" i="6" s="1"/>
  <c r="J34" i="5"/>
  <c r="J58" i="5"/>
  <c r="J24" i="6"/>
  <c r="Q26" i="1"/>
  <c r="H59" i="5"/>
  <c r="H53" i="5"/>
  <c r="H26" i="6"/>
  <c r="H187" i="5"/>
  <c r="M19" i="6"/>
  <c r="R25" i="1" s="1"/>
  <c r="R24" i="1"/>
  <c r="L121" i="5"/>
  <c r="M149" i="5"/>
  <c r="N142" i="5"/>
  <c r="M136" i="5"/>
  <c r="M120" i="5"/>
  <c r="N55" i="5"/>
  <c r="P57" i="2"/>
  <c r="M68" i="5" s="1"/>
  <c r="P26" i="2"/>
  <c r="M13" i="5" s="1"/>
  <c r="M67" i="5"/>
  <c r="M148" i="5" s="1"/>
  <c r="P59" i="2"/>
  <c r="M88" i="5" s="1"/>
  <c r="P58" i="2"/>
  <c r="M77" i="5" s="1"/>
  <c r="M78" i="5" s="1"/>
  <c r="P20" i="2"/>
  <c r="J130" i="5"/>
  <c r="J131" i="5" s="1"/>
  <c r="J132" i="5" s="1"/>
  <c r="O24" i="2"/>
  <c r="O23" i="2"/>
  <c r="I59" i="5"/>
  <c r="I26" i="6"/>
  <c r="I53" i="5"/>
  <c r="I187" i="5"/>
  <c r="M50" i="5"/>
  <c r="P22" i="2"/>
  <c r="O8" i="23"/>
  <c r="O9" i="23" s="1"/>
  <c r="N9" i="23"/>
  <c r="I36" i="5"/>
  <c r="I33" i="6" s="1"/>
  <c r="I189" i="5"/>
  <c r="K23" i="6"/>
  <c r="P29" i="1" s="1"/>
  <c r="P27" i="1"/>
  <c r="H26" i="5"/>
  <c r="H28" i="6" s="1"/>
  <c r="M34" i="1" s="1"/>
  <c r="N21" i="6" l="1"/>
  <c r="N22" i="6"/>
  <c r="H28" i="5"/>
  <c r="H40" i="5" s="1"/>
  <c r="M151" i="5"/>
  <c r="M121" i="5"/>
  <c r="R26" i="1"/>
  <c r="Q58" i="2"/>
  <c r="N77" i="5" s="1"/>
  <c r="N78" i="5" s="1"/>
  <c r="Q59" i="2"/>
  <c r="N88" i="5" s="1"/>
  <c r="Q26" i="2"/>
  <c r="N13" i="5" s="1"/>
  <c r="N67" i="5"/>
  <c r="N148" i="5" s="1"/>
  <c r="Q20" i="2"/>
  <c r="Q57" i="2"/>
  <c r="N68" i="5" s="1"/>
  <c r="K24" i="6"/>
  <c r="K34" i="5"/>
  <c r="K58" i="5"/>
  <c r="N32" i="1"/>
  <c r="I27" i="6"/>
  <c r="N33" i="1" s="1"/>
  <c r="L23" i="6"/>
  <c r="Q29" i="1" s="1"/>
  <c r="Q27" i="1"/>
  <c r="S28" i="1"/>
  <c r="N50" i="5"/>
  <c r="Q22" i="2"/>
  <c r="L19" i="5"/>
  <c r="O51" i="2"/>
  <c r="L83" i="5" s="1"/>
  <c r="L130" i="5" s="1"/>
  <c r="L131" i="5" s="1"/>
  <c r="L132" i="5" s="1"/>
  <c r="M128" i="5"/>
  <c r="M129" i="5" s="1"/>
  <c r="R28" i="1"/>
  <c r="J25" i="6"/>
  <c r="O31" i="1" s="1"/>
  <c r="O30" i="1"/>
  <c r="Q31" i="4"/>
  <c r="H27" i="6"/>
  <c r="M33" i="1" s="1"/>
  <c r="M32" i="1"/>
  <c r="J189" i="5"/>
  <c r="J36" i="5"/>
  <c r="J33" i="6" s="1"/>
  <c r="N35" i="5"/>
  <c r="N30" i="6" s="1"/>
  <c r="N39" i="6" s="1"/>
  <c r="N161" i="5"/>
  <c r="Q50" i="4"/>
  <c r="P11" i="5"/>
  <c r="P23" i="2"/>
  <c r="P24" i="2"/>
  <c r="M17" i="5"/>
  <c r="M51" i="5"/>
  <c r="M56" i="5"/>
  <c r="Q41" i="2"/>
  <c r="N135" i="5"/>
  <c r="N144" i="5"/>
  <c r="N33" i="5" s="1"/>
  <c r="N32" i="6" s="1"/>
  <c r="J26" i="6"/>
  <c r="J53" i="5"/>
  <c r="J59" i="5"/>
  <c r="J187" i="5"/>
  <c r="N120" i="5"/>
  <c r="N136" i="5"/>
  <c r="O142" i="5"/>
  <c r="Q23" i="4"/>
  <c r="P9" i="5"/>
  <c r="O38" i="5"/>
  <c r="O145" i="5" s="1"/>
  <c r="O65" i="5"/>
  <c r="O75" i="5"/>
  <c r="O87" i="5"/>
  <c r="O92" i="5"/>
  <c r="O116" i="5" s="1"/>
  <c r="O18" i="6"/>
  <c r="O49" i="5"/>
  <c r="O71" i="5"/>
  <c r="O10" i="5"/>
  <c r="O20" i="6" s="1"/>
  <c r="R19" i="2"/>
  <c r="R49" i="2" s="1"/>
  <c r="O155" i="5"/>
  <c r="H29" i="6"/>
  <c r="N19" i="6"/>
  <c r="S25" i="1" s="1"/>
  <c r="S24" i="1"/>
  <c r="R26" i="4"/>
  <c r="R30" i="4"/>
  <c r="R39" i="4"/>
  <c r="R41" i="4" s="1"/>
  <c r="R28" i="4"/>
  <c r="R13" i="4"/>
  <c r="R29" i="4"/>
  <c r="R27" i="4"/>
  <c r="O55" i="5"/>
  <c r="K89" i="5"/>
  <c r="K150" i="5"/>
  <c r="K147" i="5" s="1"/>
  <c r="H57" i="5" l="1"/>
  <c r="H41" i="5"/>
  <c r="H52" i="5"/>
  <c r="O22" i="6"/>
  <c r="T28" i="1" s="1"/>
  <c r="O21" i="6"/>
  <c r="H141" i="5"/>
  <c r="H152" i="5" s="1"/>
  <c r="H37" i="5" s="1"/>
  <c r="K88" i="2"/>
  <c r="H43" i="5" s="1"/>
  <c r="N151" i="5"/>
  <c r="N121" i="5"/>
  <c r="N128" i="5"/>
  <c r="N129" i="5" s="1"/>
  <c r="N51" i="5"/>
  <c r="N56" i="5"/>
  <c r="N17" i="5"/>
  <c r="O19" i="6"/>
  <c r="T25" i="1" s="1"/>
  <c r="T24" i="1"/>
  <c r="O161" i="5"/>
  <c r="O35" i="5"/>
  <c r="O30" i="6" s="1"/>
  <c r="O39" i="6" s="1"/>
  <c r="P55" i="5"/>
  <c r="Q24" i="2"/>
  <c r="Q23" i="2"/>
  <c r="H35" i="6"/>
  <c r="M35" i="1"/>
  <c r="K189" i="5"/>
  <c r="K36" i="5"/>
  <c r="K33" i="6" s="1"/>
  <c r="R41" i="2"/>
  <c r="O144" i="5"/>
  <c r="O33" i="5" s="1"/>
  <c r="O32" i="6" s="1"/>
  <c r="O135" i="5"/>
  <c r="R57" i="2"/>
  <c r="O68" i="5" s="1"/>
  <c r="R58" i="2"/>
  <c r="O77" i="5" s="1"/>
  <c r="O78" i="5" s="1"/>
  <c r="O67" i="5"/>
  <c r="O148" i="5" s="1"/>
  <c r="R20" i="2"/>
  <c r="R59" i="2"/>
  <c r="O88" i="5" s="1"/>
  <c r="R26" i="2"/>
  <c r="O13" i="5" s="1"/>
  <c r="R22" i="2"/>
  <c r="O50" i="5"/>
  <c r="L89" i="5"/>
  <c r="L150" i="5"/>
  <c r="L147" i="5" s="1"/>
  <c r="S26" i="1"/>
  <c r="K26" i="6"/>
  <c r="K53" i="5"/>
  <c r="K59" i="5"/>
  <c r="K187" i="5"/>
  <c r="O32" i="1"/>
  <c r="J27" i="6"/>
  <c r="O33" i="1" s="1"/>
  <c r="R23" i="4"/>
  <c r="Q9" i="5"/>
  <c r="R50" i="4"/>
  <c r="Q11" i="5"/>
  <c r="R31" i="4"/>
  <c r="P142" i="5"/>
  <c r="O120" i="5"/>
  <c r="O136" i="5"/>
  <c r="O149" i="5"/>
  <c r="L58" i="5"/>
  <c r="L34" i="5"/>
  <c r="L24" i="6"/>
  <c r="P30" i="1"/>
  <c r="K25" i="6"/>
  <c r="P31" i="1" s="1"/>
  <c r="R27" i="1"/>
  <c r="M23" i="6"/>
  <c r="R29" i="1" s="1"/>
  <c r="P87" i="5"/>
  <c r="P18" i="6"/>
  <c r="P155" i="5"/>
  <c r="P65" i="5"/>
  <c r="P92" i="5"/>
  <c r="P116" i="5" s="1"/>
  <c r="P75" i="5"/>
  <c r="S19" i="2"/>
  <c r="S49" i="2" s="1"/>
  <c r="P49" i="5"/>
  <c r="P38" i="5"/>
  <c r="P145" i="5" s="1"/>
  <c r="P71" i="5"/>
  <c r="P10" i="5"/>
  <c r="P20" i="6" s="1"/>
  <c r="M19" i="5"/>
  <c r="P51" i="2"/>
  <c r="M83" i="5" s="1"/>
  <c r="H171" i="5" l="1"/>
  <c r="H103" i="5" s="1"/>
  <c r="P21" i="6"/>
  <c r="P22" i="6"/>
  <c r="U28" i="1" s="1"/>
  <c r="K104" i="2"/>
  <c r="K105" i="2" s="1"/>
  <c r="K106" i="2" s="1"/>
  <c r="O151" i="5"/>
  <c r="O128" i="5"/>
  <c r="O129" i="5" s="1"/>
  <c r="M58" i="5"/>
  <c r="M24" i="6"/>
  <c r="M34" i="5"/>
  <c r="S58" i="2"/>
  <c r="P77" i="5" s="1"/>
  <c r="P121" i="5" s="1"/>
  <c r="S59" i="2"/>
  <c r="P88" i="5" s="1"/>
  <c r="P67" i="5"/>
  <c r="P148" i="5" s="1"/>
  <c r="S20" i="2"/>
  <c r="S57" i="2"/>
  <c r="P68" i="5" s="1"/>
  <c r="S26" i="2"/>
  <c r="P13" i="5" s="1"/>
  <c r="Q55" i="5"/>
  <c r="M150" i="5"/>
  <c r="M147" i="5" s="1"/>
  <c r="M89" i="5"/>
  <c r="K27" i="6"/>
  <c r="P33" i="1" s="1"/>
  <c r="P32" i="1"/>
  <c r="H37" i="6"/>
  <c r="H38" i="6"/>
  <c r="H36" i="6"/>
  <c r="H40" i="6" s="1"/>
  <c r="H51" i="6" s="1"/>
  <c r="M36" i="1"/>
  <c r="O121" i="5"/>
  <c r="N19" i="5"/>
  <c r="Q51" i="2"/>
  <c r="N83" i="5" s="1"/>
  <c r="T26" i="1"/>
  <c r="S22" i="2"/>
  <c r="P50" i="5"/>
  <c r="P35" i="5"/>
  <c r="P30" i="6" s="1"/>
  <c r="P39" i="6" s="1"/>
  <c r="P161" i="5"/>
  <c r="L25" i="6"/>
  <c r="Q31" i="1" s="1"/>
  <c r="Q30" i="1"/>
  <c r="N23" i="6"/>
  <c r="S29" i="1" s="1"/>
  <c r="S27" i="1"/>
  <c r="R23" i="2"/>
  <c r="R24" i="2"/>
  <c r="Q92" i="5"/>
  <c r="Q116" i="5" s="1"/>
  <c r="Q87" i="5"/>
  <c r="Q71" i="5"/>
  <c r="Q155" i="5"/>
  <c r="Q38" i="5"/>
  <c r="Q145" i="5" s="1"/>
  <c r="Q49" i="5"/>
  <c r="Q18" i="6"/>
  <c r="Q65" i="5"/>
  <c r="Q149" i="5" s="1"/>
  <c r="T19" i="2"/>
  <c r="T49" i="2" s="1"/>
  <c r="Q75" i="5"/>
  <c r="Q10" i="5"/>
  <c r="Q20" i="6" s="1"/>
  <c r="P19" i="6"/>
  <c r="U25" i="1" s="1"/>
  <c r="U24" i="1"/>
  <c r="P144" i="5"/>
  <c r="P33" i="5" s="1"/>
  <c r="P32" i="6" s="1"/>
  <c r="P135" i="5"/>
  <c r="S41" i="2"/>
  <c r="P149" i="5"/>
  <c r="L26" i="6"/>
  <c r="L53" i="5"/>
  <c r="L59" i="5"/>
  <c r="L187" i="5"/>
  <c r="L189" i="5"/>
  <c r="L36" i="5"/>
  <c r="L33" i="6" s="1"/>
  <c r="O56" i="5"/>
  <c r="O17" i="5"/>
  <c r="O51" i="5"/>
  <c r="P136" i="5"/>
  <c r="Q142" i="5"/>
  <c r="P120" i="5"/>
  <c r="M130" i="5"/>
  <c r="M131" i="5" s="1"/>
  <c r="M132" i="5" s="1"/>
  <c r="H54" i="5"/>
  <c r="K95" i="2"/>
  <c r="K96" i="2" s="1"/>
  <c r="Q21" i="6" l="1"/>
  <c r="Q22" i="6"/>
  <c r="P151" i="5"/>
  <c r="P128" i="5"/>
  <c r="P129" i="5" s="1"/>
  <c r="T27" i="1"/>
  <c r="O23" i="6"/>
  <c r="T29" i="1" s="1"/>
  <c r="M189" i="5"/>
  <c r="M36" i="5"/>
  <c r="M33" i="6" s="1"/>
  <c r="Q19" i="6"/>
  <c r="V25" i="1" s="1"/>
  <c r="V24" i="1"/>
  <c r="S24" i="2"/>
  <c r="S23" i="2"/>
  <c r="H166" i="5"/>
  <c r="H176" i="5" s="1"/>
  <c r="H178" i="5" s="1"/>
  <c r="H181" i="5" s="1"/>
  <c r="L107" i="2"/>
  <c r="I21" i="5" s="1"/>
  <c r="I25" i="5" s="1"/>
  <c r="K87" i="2"/>
  <c r="O19" i="5"/>
  <c r="R51" i="2"/>
  <c r="O83" i="5" s="1"/>
  <c r="O130" i="5" s="1"/>
  <c r="O131" i="5" s="1"/>
  <c r="O132" i="5" s="1"/>
  <c r="M53" i="5"/>
  <c r="M59" i="5"/>
  <c r="M26" i="6"/>
  <c r="M187" i="5"/>
  <c r="P78" i="5"/>
  <c r="Q50" i="5"/>
  <c r="T22" i="2"/>
  <c r="Q35" i="5"/>
  <c r="Q30" i="6" s="1"/>
  <c r="Q39" i="6" s="1"/>
  <c r="Q161" i="5"/>
  <c r="U26" i="1"/>
  <c r="N34" i="5"/>
  <c r="N24" i="6"/>
  <c r="N58" i="5"/>
  <c r="P17" i="5"/>
  <c r="P51" i="5"/>
  <c r="P56" i="5"/>
  <c r="R30" i="1"/>
  <c r="M25" i="6"/>
  <c r="R31" i="1" s="1"/>
  <c r="L27" i="6"/>
  <c r="Q33" i="1" s="1"/>
  <c r="Q32" i="1"/>
  <c r="N89" i="5"/>
  <c r="N150" i="5"/>
  <c r="N147" i="5" s="1"/>
  <c r="Q135" i="5"/>
  <c r="T41" i="2"/>
  <c r="Q144" i="5"/>
  <c r="Q33" i="5" s="1"/>
  <c r="Q32" i="6" s="1"/>
  <c r="Q120" i="5"/>
  <c r="Q136" i="5"/>
  <c r="T26" i="2"/>
  <c r="Q13" i="5" s="1"/>
  <c r="Q67" i="5"/>
  <c r="T58" i="2"/>
  <c r="Q77" i="5" s="1"/>
  <c r="Q78" i="5" s="1"/>
  <c r="T59" i="2"/>
  <c r="Q88" i="5" s="1"/>
  <c r="T20" i="2"/>
  <c r="T57" i="2"/>
  <c r="Q68" i="5" s="1"/>
  <c r="N130" i="5"/>
  <c r="N131" i="5" s="1"/>
  <c r="N132" i="5" s="1"/>
  <c r="Q121" i="5" l="1"/>
  <c r="Q151" i="5"/>
  <c r="M27" i="6"/>
  <c r="R33" i="1" s="1"/>
  <c r="R32" i="1"/>
  <c r="T24" i="2"/>
  <c r="T23" i="2"/>
  <c r="N189" i="5"/>
  <c r="N36" i="5"/>
  <c r="N33" i="6" s="1"/>
  <c r="U27" i="1"/>
  <c r="P23" i="6"/>
  <c r="U29" i="1" s="1"/>
  <c r="Q56" i="5"/>
  <c r="Q17" i="5"/>
  <c r="Q51" i="5"/>
  <c r="P19" i="5"/>
  <c r="S51" i="2"/>
  <c r="P83" i="5" s="1"/>
  <c r="V26" i="1"/>
  <c r="O89" i="5"/>
  <c r="O150" i="5"/>
  <c r="O147" i="5" s="1"/>
  <c r="V28" i="1"/>
  <c r="O58" i="5"/>
  <c r="O34" i="5"/>
  <c r="O24" i="6"/>
  <c r="H91" i="5"/>
  <c r="H198" i="5" s="1"/>
  <c r="H199" i="5" s="1"/>
  <c r="H165" i="5"/>
  <c r="S30" i="1"/>
  <c r="N25" i="6"/>
  <c r="S31" i="1" s="1"/>
  <c r="I26" i="5"/>
  <c r="I28" i="6" s="1"/>
  <c r="Q148" i="5"/>
  <c r="Q128" i="5"/>
  <c r="Q129" i="5" s="1"/>
  <c r="N26" i="6"/>
  <c r="N53" i="5"/>
  <c r="N59" i="5"/>
  <c r="N187" i="5"/>
  <c r="H64" i="5"/>
  <c r="H69" i="5" l="1"/>
  <c r="H207" i="5" s="1"/>
  <c r="I179" i="5"/>
  <c r="H42" i="5"/>
  <c r="Q23" i="6"/>
  <c r="V29" i="1" s="1"/>
  <c r="V27" i="1"/>
  <c r="O53" i="5"/>
  <c r="O59" i="5"/>
  <c r="O26" i="6"/>
  <c r="O187" i="5"/>
  <c r="P150" i="5"/>
  <c r="P147" i="5" s="1"/>
  <c r="P89" i="5"/>
  <c r="N34" i="1"/>
  <c r="I29" i="6"/>
  <c r="P58" i="5"/>
  <c r="P34" i="5"/>
  <c r="P24" i="6"/>
  <c r="N27" i="6"/>
  <c r="S33" i="1" s="1"/>
  <c r="S32" i="1"/>
  <c r="P130" i="5"/>
  <c r="P131" i="5" s="1"/>
  <c r="P132" i="5" s="1"/>
  <c r="H95" i="5"/>
  <c r="H97" i="5" s="1"/>
  <c r="H191" i="5"/>
  <c r="H114" i="5"/>
  <c r="O36" i="5"/>
  <c r="O33" i="6" s="1"/>
  <c r="O189" i="5"/>
  <c r="Q19" i="5"/>
  <c r="T51" i="2"/>
  <c r="Q83" i="5" s="1"/>
  <c r="Q130" i="5" s="1"/>
  <c r="Q131" i="5" s="1"/>
  <c r="Q132" i="5" s="1"/>
  <c r="H183" i="5"/>
  <c r="I28" i="5"/>
  <c r="O25" i="6"/>
  <c r="T31" i="1" s="1"/>
  <c r="T30" i="1"/>
  <c r="Q58" i="5" l="1"/>
  <c r="Q34" i="5"/>
  <c r="Q24" i="6"/>
  <c r="O27" i="6"/>
  <c r="T33" i="1" s="1"/>
  <c r="T32" i="1"/>
  <c r="H110" i="5"/>
  <c r="I40" i="5"/>
  <c r="L88" i="2"/>
  <c r="I57" i="5"/>
  <c r="I41" i="5"/>
  <c r="I52" i="5"/>
  <c r="I141" i="5"/>
  <c r="I152" i="5" s="1"/>
  <c r="P59" i="5"/>
  <c r="P26" i="6"/>
  <c r="P53" i="5"/>
  <c r="P187" i="5"/>
  <c r="U30" i="1"/>
  <c r="P25" i="6"/>
  <c r="U31" i="1" s="1"/>
  <c r="P36" i="5"/>
  <c r="P33" i="6" s="1"/>
  <c r="P189" i="5"/>
  <c r="N35" i="1"/>
  <c r="I35" i="6"/>
  <c r="Q150" i="5"/>
  <c r="Q147" i="5" s="1"/>
  <c r="Q89" i="5"/>
  <c r="H119" i="5"/>
  <c r="H118" i="5" s="1"/>
  <c r="H125" i="5" s="1"/>
  <c r="H126" i="5" s="1"/>
  <c r="H80" i="5"/>
  <c r="Q25" i="6" l="1"/>
  <c r="V31" i="1" s="1"/>
  <c r="V30" i="1"/>
  <c r="Q59" i="5"/>
  <c r="Q53" i="5"/>
  <c r="Q26" i="6"/>
  <c r="Q187" i="5"/>
  <c r="I37" i="5"/>
  <c r="Q36" i="5"/>
  <c r="Q33" i="6" s="1"/>
  <c r="Q189" i="5"/>
  <c r="I38" i="6"/>
  <c r="I37" i="6"/>
  <c r="I36" i="6"/>
  <c r="I40" i="6" s="1"/>
  <c r="I51" i="6" s="1"/>
  <c r="N36" i="1"/>
  <c r="U32" i="1"/>
  <c r="P27" i="6"/>
  <c r="U33" i="1" s="1"/>
  <c r="I171" i="5"/>
  <c r="I103" i="5" s="1"/>
  <c r="I43" i="5"/>
  <c r="L9" i="1" s="1"/>
  <c r="H104" i="5"/>
  <c r="H105" i="5" s="1"/>
  <c r="H188" i="5"/>
  <c r="H192" i="5"/>
  <c r="H111" i="5"/>
  <c r="L104" i="2" l="1"/>
  <c r="L105" i="2" s="1"/>
  <c r="L106" i="2" s="1"/>
  <c r="V32" i="1"/>
  <c r="Q27" i="6"/>
  <c r="V33" i="1" s="1"/>
  <c r="Q41" i="6"/>
  <c r="Q42" i="6" s="1"/>
  <c r="H115" i="5"/>
  <c r="H113" i="5" s="1"/>
  <c r="H123" i="5" s="1"/>
  <c r="H107" i="5"/>
  <c r="H108" i="5" s="1"/>
  <c r="H208" i="5"/>
  <c r="H214" i="5" s="1"/>
  <c r="H194" i="5"/>
  <c r="H193" i="5"/>
  <c r="L95" i="2"/>
  <c r="L96" i="2" s="1"/>
  <c r="I54" i="5"/>
  <c r="C52" i="6" l="1"/>
  <c r="M107" i="2"/>
  <c r="J21" i="5" s="1"/>
  <c r="J25" i="5" s="1"/>
  <c r="I166" i="5"/>
  <c r="I176" i="5" s="1"/>
  <c r="I178" i="5" s="1"/>
  <c r="I181" i="5" s="1"/>
  <c r="L87" i="2"/>
  <c r="I165" i="5" l="1"/>
  <c r="I91" i="5"/>
  <c r="I198" i="5" s="1"/>
  <c r="I199" i="5" s="1"/>
  <c r="I64" i="5"/>
  <c r="J26" i="5"/>
  <c r="J28" i="6" s="1"/>
  <c r="D52" i="6"/>
  <c r="J28" i="5" l="1"/>
  <c r="J41" i="5" s="1"/>
  <c r="I42" i="5"/>
  <c r="J179" i="5"/>
  <c r="I69" i="5"/>
  <c r="O34" i="1"/>
  <c r="J29" i="6"/>
  <c r="I183" i="5"/>
  <c r="I191" i="5"/>
  <c r="I95" i="5"/>
  <c r="I97" i="5" s="1"/>
  <c r="I114" i="5"/>
  <c r="J52" i="5" l="1"/>
  <c r="M88" i="2"/>
  <c r="J171" i="5" s="1"/>
  <c r="J103" i="5" s="1"/>
  <c r="J141" i="5"/>
  <c r="J152" i="5" s="1"/>
  <c r="J37" i="5" s="1"/>
  <c r="J57" i="5"/>
  <c r="J40" i="5"/>
  <c r="I119" i="5"/>
  <c r="I118" i="5" s="1"/>
  <c r="I125" i="5" s="1"/>
  <c r="I126" i="5" s="1"/>
  <c r="I80" i="5"/>
  <c r="I207" i="5"/>
  <c r="O35" i="1"/>
  <c r="J35" i="6"/>
  <c r="I110" i="5"/>
  <c r="J43" i="5" l="1"/>
  <c r="J54" i="5" s="1"/>
  <c r="I104" i="5"/>
  <c r="I105" i="5" s="1"/>
  <c r="I188" i="5"/>
  <c r="I192" i="5"/>
  <c r="I111" i="5"/>
  <c r="M104" i="2"/>
  <c r="M105" i="2" s="1"/>
  <c r="J36" i="6"/>
  <c r="J40" i="6" s="1"/>
  <c r="O36" i="1"/>
  <c r="J37" i="6"/>
  <c r="J38" i="6"/>
  <c r="M95" i="2" l="1"/>
  <c r="M96" i="2" s="1"/>
  <c r="J51" i="6"/>
  <c r="I107" i="5"/>
  <c r="I108" i="5" s="1"/>
  <c r="I115" i="5"/>
  <c r="I113" i="5" s="1"/>
  <c r="I123" i="5" s="1"/>
  <c r="I208" i="5"/>
  <c r="I214" i="5" s="1"/>
  <c r="I194" i="5"/>
  <c r="I193" i="5"/>
  <c r="M106" i="2"/>
  <c r="J166" i="5" l="1"/>
  <c r="J176" i="5" s="1"/>
  <c r="J178" i="5" s="1"/>
  <c r="J181" i="5" s="1"/>
  <c r="N107" i="2"/>
  <c r="K21" i="5" s="1"/>
  <c r="K25" i="5" s="1"/>
  <c r="M87" i="2"/>
  <c r="J165" i="5" l="1"/>
  <c r="J91" i="5"/>
  <c r="J198" i="5" s="1"/>
  <c r="J199" i="5" s="1"/>
  <c r="K26" i="5"/>
  <c r="K28" i="6" s="1"/>
  <c r="J64" i="5"/>
  <c r="K28" i="5" l="1"/>
  <c r="K40" i="5" s="1"/>
  <c r="J69" i="5"/>
  <c r="J42" i="5"/>
  <c r="K179" i="5"/>
  <c r="P34" i="1"/>
  <c r="K29" i="6"/>
  <c r="J114" i="5"/>
  <c r="J191" i="5"/>
  <c r="J95" i="5"/>
  <c r="J97" i="5" s="1"/>
  <c r="J183" i="5"/>
  <c r="K57" i="5" l="1"/>
  <c r="K141" i="5"/>
  <c r="K152" i="5" s="1"/>
  <c r="K37" i="5" s="1"/>
  <c r="K41" i="5"/>
  <c r="N88" i="2"/>
  <c r="K171" i="5" s="1"/>
  <c r="K103" i="5" s="1"/>
  <c r="K52" i="5"/>
  <c r="K35" i="6"/>
  <c r="P35" i="1"/>
  <c r="J110" i="5"/>
  <c r="J119" i="5"/>
  <c r="J118" i="5" s="1"/>
  <c r="J125" i="5" s="1"/>
  <c r="J126" i="5" s="1"/>
  <c r="J80" i="5"/>
  <c r="J207" i="5"/>
  <c r="K43" i="5" l="1"/>
  <c r="N95" i="2" s="1"/>
  <c r="N96" i="2" s="1"/>
  <c r="N104" i="2"/>
  <c r="N105" i="2" s="1"/>
  <c r="N106" i="2" s="1"/>
  <c r="J111" i="5"/>
  <c r="J192" i="5"/>
  <c r="J104" i="5"/>
  <c r="J105" i="5" s="1"/>
  <c r="J188" i="5"/>
  <c r="K37" i="6"/>
  <c r="K38" i="6"/>
  <c r="P36" i="1"/>
  <c r="K36" i="6"/>
  <c r="K40" i="6" s="1"/>
  <c r="K54" i="5" l="1"/>
  <c r="K166" i="5"/>
  <c r="K176" i="5" s="1"/>
  <c r="K178" i="5" s="1"/>
  <c r="K181" i="5" s="1"/>
  <c r="N87" i="2"/>
  <c r="O107" i="2"/>
  <c r="L21" i="5" s="1"/>
  <c r="L25" i="5" s="1"/>
  <c r="K51" i="6"/>
  <c r="J107" i="5"/>
  <c r="J108" i="5" s="1"/>
  <c r="J115" i="5"/>
  <c r="J113" i="5" s="1"/>
  <c r="J123" i="5" s="1"/>
  <c r="J208" i="5"/>
  <c r="J214" i="5" s="1"/>
  <c r="J194" i="5"/>
  <c r="J193" i="5"/>
  <c r="L26" i="5" l="1"/>
  <c r="L28" i="6" s="1"/>
  <c r="K165" i="5"/>
  <c r="K91" i="5"/>
  <c r="K198" i="5" s="1"/>
  <c r="K199" i="5" s="1"/>
  <c r="K64" i="5"/>
  <c r="L28" i="5" l="1"/>
  <c r="L141" i="5" s="1"/>
  <c r="L152" i="5" s="1"/>
  <c r="K114" i="5"/>
  <c r="K191" i="5"/>
  <c r="K95" i="5"/>
  <c r="K97" i="5" s="1"/>
  <c r="K69" i="5"/>
  <c r="K42" i="5"/>
  <c r="L179" i="5"/>
  <c r="K183" i="5"/>
  <c r="Q34" i="1"/>
  <c r="L29" i="6"/>
  <c r="O88" i="2" l="1"/>
  <c r="L171" i="5" s="1"/>
  <c r="L103" i="5" s="1"/>
  <c r="L41" i="5"/>
  <c r="L40" i="5"/>
  <c r="L52" i="5"/>
  <c r="L57" i="5"/>
  <c r="K119" i="5"/>
  <c r="K118" i="5" s="1"/>
  <c r="K125" i="5" s="1"/>
  <c r="K126" i="5" s="1"/>
  <c r="K80" i="5"/>
  <c r="K207" i="5"/>
  <c r="L35" i="6"/>
  <c r="Q35" i="1"/>
  <c r="L37" i="5"/>
  <c r="K110" i="5"/>
  <c r="L43" i="5" l="1"/>
  <c r="O95" i="2" s="1"/>
  <c r="O96" i="2" s="1"/>
  <c r="O104" i="2"/>
  <c r="O105" i="2" s="1"/>
  <c r="O106" i="2" s="1"/>
  <c r="K111" i="5"/>
  <c r="K192" i="5"/>
  <c r="K104" i="5"/>
  <c r="K105" i="5" s="1"/>
  <c r="K188" i="5"/>
  <c r="Q36" i="1"/>
  <c r="L37" i="6"/>
  <c r="L38" i="6"/>
  <c r="L36" i="6"/>
  <c r="L40" i="6" s="1"/>
  <c r="L54" i="5" l="1"/>
  <c r="K115" i="5"/>
  <c r="K113" i="5" s="1"/>
  <c r="K123" i="5" s="1"/>
  <c r="K107" i="5"/>
  <c r="K108" i="5" s="1"/>
  <c r="K208" i="5"/>
  <c r="K214" i="5" s="1"/>
  <c r="K193" i="5"/>
  <c r="K194" i="5"/>
  <c r="L51" i="6"/>
  <c r="L166" i="5"/>
  <c r="L176" i="5" s="1"/>
  <c r="L178" i="5" s="1"/>
  <c r="L181" i="5" s="1"/>
  <c r="P107" i="2"/>
  <c r="M21" i="5" s="1"/>
  <c r="M25" i="5" s="1"/>
  <c r="O87" i="2"/>
  <c r="L165" i="5" l="1"/>
  <c r="L91" i="5"/>
  <c r="L198" i="5" s="1"/>
  <c r="L199" i="5" s="1"/>
  <c r="M26" i="5"/>
  <c r="M28" i="6" s="1"/>
  <c r="L64" i="5"/>
  <c r="L183" i="5" s="1"/>
  <c r="M28" i="5" l="1"/>
  <c r="M141" i="5" s="1"/>
  <c r="M152" i="5" s="1"/>
  <c r="M179" i="5"/>
  <c r="L69" i="5"/>
  <c r="L42" i="5"/>
  <c r="L114" i="5"/>
  <c r="L191" i="5"/>
  <c r="L95" i="5"/>
  <c r="L97" i="5" s="1"/>
  <c r="R34" i="1"/>
  <c r="M29" i="6"/>
  <c r="P88" i="2" l="1"/>
  <c r="M171" i="5" s="1"/>
  <c r="M103" i="5" s="1"/>
  <c r="M41" i="5"/>
  <c r="M52" i="5"/>
  <c r="M57" i="5"/>
  <c r="M40" i="5"/>
  <c r="L110" i="5"/>
  <c r="R35" i="1"/>
  <c r="M35" i="6"/>
  <c r="M37" i="5"/>
  <c r="L119" i="5"/>
  <c r="L118" i="5" s="1"/>
  <c r="L125" i="5" s="1"/>
  <c r="L126" i="5" s="1"/>
  <c r="L80" i="5"/>
  <c r="L207" i="5"/>
  <c r="M43" i="5" l="1"/>
  <c r="P95" i="2" s="1"/>
  <c r="P96" i="2" s="1"/>
  <c r="P104" i="2"/>
  <c r="P105" i="2" s="1"/>
  <c r="P106" i="2" s="1"/>
  <c r="M36" i="6"/>
  <c r="M40" i="6" s="1"/>
  <c r="M38" i="6"/>
  <c r="M37" i="6"/>
  <c r="R36" i="1"/>
  <c r="L104" i="5"/>
  <c r="L105" i="5" s="1"/>
  <c r="L188" i="5"/>
  <c r="L111" i="5"/>
  <c r="L192" i="5"/>
  <c r="M54" i="5" l="1"/>
  <c r="Q107" i="2"/>
  <c r="N21" i="5" s="1"/>
  <c r="N25" i="5" s="1"/>
  <c r="M166" i="5"/>
  <c r="M176" i="5" s="1"/>
  <c r="M178" i="5" s="1"/>
  <c r="M181" i="5" s="1"/>
  <c r="P87" i="2"/>
  <c r="M51" i="6"/>
  <c r="L115" i="5"/>
  <c r="L113" i="5" s="1"/>
  <c r="L123" i="5" s="1"/>
  <c r="L107" i="5"/>
  <c r="L108" i="5" s="1"/>
  <c r="L208" i="5"/>
  <c r="L214" i="5" s="1"/>
  <c r="L194" i="5"/>
  <c r="L193" i="5"/>
  <c r="M165" i="5" l="1"/>
  <c r="M91" i="5"/>
  <c r="M198" i="5" s="1"/>
  <c r="M199" i="5" s="1"/>
  <c r="M64" i="5"/>
  <c r="M183" i="5" s="1"/>
  <c r="N26" i="5"/>
  <c r="N28" i="6" s="1"/>
  <c r="N28" i="5" l="1"/>
  <c r="M114" i="5"/>
  <c r="M191" i="5"/>
  <c r="M95" i="5"/>
  <c r="M97" i="5" s="1"/>
  <c r="S34" i="1"/>
  <c r="N29" i="6"/>
  <c r="M69" i="5"/>
  <c r="N179" i="5"/>
  <c r="M42" i="5"/>
  <c r="S35" i="1" l="1"/>
  <c r="N35" i="6"/>
  <c r="M110" i="5"/>
  <c r="M119" i="5"/>
  <c r="M118" i="5" s="1"/>
  <c r="M125" i="5" s="1"/>
  <c r="M126" i="5" s="1"/>
  <c r="M80" i="5"/>
  <c r="M207" i="5"/>
  <c r="N141" i="5"/>
  <c r="N152" i="5" s="1"/>
  <c r="N57" i="5"/>
  <c r="N52" i="5"/>
  <c r="N41" i="5"/>
  <c r="N40" i="5"/>
  <c r="Q88" i="2"/>
  <c r="M104" i="5" l="1"/>
  <c r="M105" i="5" s="1"/>
  <c r="M188" i="5"/>
  <c r="M111" i="5"/>
  <c r="M192" i="5"/>
  <c r="N171" i="5"/>
  <c r="N103" i="5" s="1"/>
  <c r="N43" i="5"/>
  <c r="N38" i="6"/>
  <c r="N37" i="6"/>
  <c r="S36" i="1"/>
  <c r="N36" i="6"/>
  <c r="N40" i="6" s="1"/>
  <c r="N51" i="6" s="1"/>
  <c r="N37" i="5"/>
  <c r="Q104" i="2" l="1"/>
  <c r="Q105" i="2" s="1"/>
  <c r="Q106" i="2" s="1"/>
  <c r="Q95" i="2"/>
  <c r="Q96" i="2" s="1"/>
  <c r="N54" i="5"/>
  <c r="M115" i="5"/>
  <c r="M113" i="5" s="1"/>
  <c r="M123" i="5" s="1"/>
  <c r="M107" i="5"/>
  <c r="M108" i="5" s="1"/>
  <c r="M208" i="5"/>
  <c r="M214" i="5" s="1"/>
  <c r="M193" i="5"/>
  <c r="M194" i="5"/>
  <c r="R107" i="2" l="1"/>
  <c r="O21" i="5" s="1"/>
  <c r="O25" i="5" s="1"/>
  <c r="Q87" i="2"/>
  <c r="N166" i="5"/>
  <c r="N176" i="5" s="1"/>
  <c r="N178" i="5" s="1"/>
  <c r="N181" i="5" s="1"/>
  <c r="N64" i="5" l="1"/>
  <c r="N183" i="5" s="1"/>
  <c r="N91" i="5"/>
  <c r="N198" i="5" s="1"/>
  <c r="N199" i="5" s="1"/>
  <c r="N165" i="5"/>
  <c r="O26" i="5"/>
  <c r="O28" i="6" s="1"/>
  <c r="O28" i="5" l="1"/>
  <c r="O57" i="5" s="1"/>
  <c r="T34" i="1"/>
  <c r="O29" i="6"/>
  <c r="N95" i="5"/>
  <c r="N97" i="5" s="1"/>
  <c r="N114" i="5"/>
  <c r="N191" i="5"/>
  <c r="N42" i="5"/>
  <c r="O179" i="5"/>
  <c r="N69" i="5"/>
  <c r="O52" i="5" l="1"/>
  <c r="R88" i="2"/>
  <c r="O43" i="5" s="1"/>
  <c r="O41" i="5"/>
  <c r="O141" i="5"/>
  <c r="O152" i="5" s="1"/>
  <c r="O37" i="5" s="1"/>
  <c r="O40" i="5"/>
  <c r="N110" i="5"/>
  <c r="N119" i="5"/>
  <c r="N118" i="5" s="1"/>
  <c r="N125" i="5" s="1"/>
  <c r="N126" i="5" s="1"/>
  <c r="N80" i="5"/>
  <c r="N207" i="5"/>
  <c r="T35" i="1"/>
  <c r="O35" i="6"/>
  <c r="O171" i="5" l="1"/>
  <c r="O103" i="5" s="1"/>
  <c r="O36" i="6"/>
  <c r="O40" i="6" s="1"/>
  <c r="O51" i="6" s="1"/>
  <c r="O38" i="6"/>
  <c r="T36" i="1"/>
  <c r="O37" i="6"/>
  <c r="N104" i="5"/>
  <c r="N105" i="5" s="1"/>
  <c r="N188" i="5"/>
  <c r="N111" i="5"/>
  <c r="N192" i="5"/>
  <c r="O54" i="5"/>
  <c r="R95" i="2"/>
  <c r="R96" i="2" s="1"/>
  <c r="R104" i="2" l="1"/>
  <c r="R105" i="2" s="1"/>
  <c r="R106" i="2" s="1"/>
  <c r="O166" i="5" s="1"/>
  <c r="O176" i="5" s="1"/>
  <c r="O178" i="5" s="1"/>
  <c r="O181" i="5" s="1"/>
  <c r="N107" i="5"/>
  <c r="N108" i="5" s="1"/>
  <c r="N115" i="5"/>
  <c r="N113" i="5" s="1"/>
  <c r="N123" i="5" s="1"/>
  <c r="N208" i="5"/>
  <c r="N214" i="5" s="1"/>
  <c r="N194" i="5"/>
  <c r="N193" i="5"/>
  <c r="R87" i="2" l="1"/>
  <c r="O91" i="5" s="1"/>
  <c r="O198" i="5" s="1"/>
  <c r="O199" i="5" s="1"/>
  <c r="S107" i="2"/>
  <c r="P21" i="5" s="1"/>
  <c r="P25" i="5" s="1"/>
  <c r="P26" i="5" s="1"/>
  <c r="P28" i="6" s="1"/>
  <c r="O64" i="5"/>
  <c r="O165" i="5" l="1"/>
  <c r="O42" i="5"/>
  <c r="O69" i="5"/>
  <c r="P179" i="5"/>
  <c r="O183" i="5"/>
  <c r="U34" i="1"/>
  <c r="P29" i="6"/>
  <c r="P28" i="5"/>
  <c r="O95" i="5"/>
  <c r="O97" i="5" s="1"/>
  <c r="O191" i="5"/>
  <c r="O114" i="5"/>
  <c r="S88" i="2" l="1"/>
  <c r="P57" i="5"/>
  <c r="P141" i="5"/>
  <c r="P152" i="5" s="1"/>
  <c r="P52" i="5"/>
  <c r="P41" i="5"/>
  <c r="P40" i="5"/>
  <c r="P35" i="6"/>
  <c r="U35" i="1"/>
  <c r="O110" i="5"/>
  <c r="O119" i="5"/>
  <c r="O118" i="5" s="1"/>
  <c r="O125" i="5" s="1"/>
  <c r="O126" i="5" s="1"/>
  <c r="O80" i="5"/>
  <c r="O207" i="5"/>
  <c r="O104" i="5" l="1"/>
  <c r="O105" i="5" s="1"/>
  <c r="O188" i="5"/>
  <c r="O111" i="5"/>
  <c r="O192" i="5"/>
  <c r="P37" i="5"/>
  <c r="P36" i="6"/>
  <c r="P40" i="6" s="1"/>
  <c r="P51" i="6" s="1"/>
  <c r="P38" i="6"/>
  <c r="P37" i="6"/>
  <c r="U36" i="1"/>
  <c r="P43" i="5"/>
  <c r="P171" i="5"/>
  <c r="P103" i="5" s="1"/>
  <c r="S104" i="2" l="1"/>
  <c r="S105" i="2" s="1"/>
  <c r="S106" i="2" s="1"/>
  <c r="S95" i="2"/>
  <c r="S96" i="2" s="1"/>
  <c r="P54" i="5"/>
  <c r="O107" i="5"/>
  <c r="O108" i="5" s="1"/>
  <c r="O115" i="5"/>
  <c r="O113" i="5" s="1"/>
  <c r="O123" i="5" s="1"/>
  <c r="O208" i="5"/>
  <c r="O214" i="5" s="1"/>
  <c r="O194" i="5"/>
  <c r="O193" i="5"/>
  <c r="T107" i="2" l="1"/>
  <c r="Q21" i="5" s="1"/>
  <c r="Q25" i="5" s="1"/>
  <c r="S87" i="2"/>
  <c r="P166" i="5"/>
  <c r="P176" i="5" s="1"/>
  <c r="P178" i="5" s="1"/>
  <c r="P181" i="5" s="1"/>
  <c r="P64" i="5" l="1"/>
  <c r="P183" i="5" s="1"/>
  <c r="P165" i="5"/>
  <c r="P91" i="5"/>
  <c r="P198" i="5" s="1"/>
  <c r="P199" i="5" s="1"/>
  <c r="Q26" i="5"/>
  <c r="Q28" i="6" s="1"/>
  <c r="Q28" i="5" l="1"/>
  <c r="Q57" i="5" s="1"/>
  <c r="V34" i="1"/>
  <c r="Q29" i="6"/>
  <c r="P95" i="5"/>
  <c r="P97" i="5" s="1"/>
  <c r="P114" i="5"/>
  <c r="P191" i="5"/>
  <c r="P69" i="5"/>
  <c r="Q179" i="5"/>
  <c r="P42" i="5"/>
  <c r="T88" i="2" l="1"/>
  <c r="Q43" i="5" s="1"/>
  <c r="Q141" i="5"/>
  <c r="Q152" i="5" s="1"/>
  <c r="Q37" i="5" s="1"/>
  <c r="Q41" i="5"/>
  <c r="Q52" i="5"/>
  <c r="Q40" i="5"/>
  <c r="P110" i="5"/>
  <c r="V35" i="1"/>
  <c r="Q35" i="6"/>
  <c r="P119" i="5"/>
  <c r="P118" i="5" s="1"/>
  <c r="P125" i="5" s="1"/>
  <c r="P126" i="5" s="1"/>
  <c r="P80" i="5"/>
  <c r="P207" i="5"/>
  <c r="Q171" i="5" l="1"/>
  <c r="Q103" i="5" s="1"/>
  <c r="Q38" i="6"/>
  <c r="Q37" i="6"/>
  <c r="Q36" i="6"/>
  <c r="V36" i="1"/>
  <c r="P111" i="5"/>
  <c r="P192" i="5"/>
  <c r="T95" i="2"/>
  <c r="T96" i="2" s="1"/>
  <c r="Q54" i="5"/>
  <c r="P104" i="5"/>
  <c r="P105" i="5" s="1"/>
  <c r="P188" i="5"/>
  <c r="T104" i="2" l="1"/>
  <c r="T105" i="2" s="1"/>
  <c r="T106" i="2" s="1"/>
  <c r="Q166" i="5" s="1"/>
  <c r="Q176" i="5" s="1"/>
  <c r="Q178" i="5" s="1"/>
  <c r="Q181" i="5" s="1"/>
  <c r="Q64" i="5" s="1"/>
  <c r="Q183" i="5" s="1"/>
  <c r="Q40" i="6"/>
  <c r="Q43" i="6"/>
  <c r="Q44" i="6" s="1"/>
  <c r="P115" i="5"/>
  <c r="P113" i="5" s="1"/>
  <c r="P123" i="5" s="1"/>
  <c r="P107" i="5"/>
  <c r="P108" i="5" s="1"/>
  <c r="P208" i="5"/>
  <c r="P214" i="5" s="1"/>
  <c r="P193" i="5"/>
  <c r="P194" i="5"/>
  <c r="T87" i="2" l="1"/>
  <c r="Q69" i="5"/>
  <c r="Q42" i="5"/>
  <c r="E47" i="6"/>
  <c r="C53" i="6"/>
  <c r="D53" i="6" s="1"/>
  <c r="C66" i="6"/>
  <c r="Q51" i="6"/>
  <c r="E46" i="6"/>
  <c r="C56" i="6"/>
  <c r="Q91" i="5" l="1"/>
  <c r="Q198" i="5" s="1"/>
  <c r="Q199" i="5" s="1"/>
  <c r="Q165" i="5"/>
  <c r="D56" i="6"/>
  <c r="C60" i="6"/>
  <c r="D60" i="6" s="1"/>
  <c r="D66" i="6"/>
  <c r="C70" i="6"/>
  <c r="D70" i="6" s="1"/>
  <c r="Q119" i="5"/>
  <c r="Q118" i="5" s="1"/>
  <c r="Q125" i="5" s="1"/>
  <c r="Q126" i="5" s="1"/>
  <c r="Q80" i="5"/>
  <c r="Q207" i="5"/>
  <c r="Q114" i="5" l="1"/>
  <c r="Q110" i="5" s="1"/>
  <c r="Q111" i="5" s="1"/>
  <c r="Q95" i="5"/>
  <c r="Q97" i="5" s="1"/>
  <c r="Q104" i="5" s="1"/>
  <c r="Q105" i="5" s="1"/>
  <c r="Q191" i="5"/>
  <c r="Q188" i="5"/>
  <c r="D72" i="6"/>
  <c r="H18" i="1"/>
  <c r="D18" i="1" s="1"/>
  <c r="K78" i="6"/>
  <c r="D62" i="6"/>
  <c r="K90" i="6"/>
  <c r="H16" i="1"/>
  <c r="L7" i="1" l="1"/>
  <c r="Q192" i="5"/>
  <c r="C90" i="6"/>
  <c r="H17" i="1"/>
  <c r="D17" i="1" s="1"/>
  <c r="H19" i="1"/>
  <c r="D19" i="1" s="1"/>
  <c r="C78" i="6"/>
  <c r="D16" i="1"/>
  <c r="Q115" i="5"/>
  <c r="Q113" i="5" s="1"/>
  <c r="Q123" i="5" s="1"/>
  <c r="Q107" i="5"/>
  <c r="Q108" i="5" s="1"/>
  <c r="Q208" i="5"/>
  <c r="Q214" i="5" s="1"/>
  <c r="Q193" i="5"/>
  <c r="Q194" i="5"/>
  <c r="N212" i="5" l="1"/>
  <c r="K212" i="5"/>
  <c r="Q211" i="5"/>
  <c r="P211" i="5"/>
  <c r="P210" i="5"/>
  <c r="Q212" i="5"/>
  <c r="M210" i="5"/>
  <c r="I210" i="5"/>
  <c r="I211" i="5"/>
  <c r="H211" i="5"/>
  <c r="L211" i="5"/>
  <c r="L212" i="5"/>
  <c r="K211" i="5"/>
  <c r="H212" i="5"/>
  <c r="J212" i="5"/>
  <c r="P212" i="5"/>
  <c r="O210" i="5"/>
  <c r="N210" i="5"/>
  <c r="O212" i="5"/>
  <c r="J211" i="5"/>
  <c r="M211" i="5"/>
  <c r="L210" i="5"/>
  <c r="H210" i="5"/>
  <c r="O211" i="5"/>
  <c r="N211" i="5"/>
  <c r="M212" i="5"/>
  <c r="L8" i="1"/>
  <c r="L10" i="1" s="1"/>
  <c r="K210" i="5"/>
  <c r="J210" i="5"/>
  <c r="Q210" i="5"/>
  <c r="I2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4E131-94A5-424B-A3D2-C370858F7B22}" keepAlive="1" name="Query - Balance Sheet - As Reported" description="Connection to the 'Balance Sheet - As Reported' query in the workbook." type="5" refreshedVersion="0" background="1" saveData="1">
    <dbPr connection="Provider=Microsoft.Mashup.OleDb.1;Data Source=$Workbook$;Location=&quot;Balance Sheet - As Reported&quot;;Extended Properties=&quot;&quot;" command="SELECT * FROM [Balance Sheet - As Reported]"/>
  </connection>
  <connection id="2" xr16:uid="{FB403F7A-4330-D64B-997C-458866879081}" keepAlive="1" name="Query - Cash Flow - As Reported" description="Connection to the 'Cash Flow - As Reported' query in the workbook." type="5" refreshedVersion="0" background="1" saveData="1">
    <dbPr connection="Provider=Microsoft.Mashup.OleDb.1;Data Source=$Workbook$;Location=&quot;Cash Flow - As Reported&quot;;Extended Properties=&quot;&quot;" command="SELECT * FROM [Cash Flow - As Reported]"/>
  </connection>
  <connection id="3" xr16:uid="{AAA477F3-955F-9E46-B485-737B64C02DFE}" keepAlive="1" name="Query - Income Statment - As Reported" description="Connection to the 'Income Statment - As Reported' query in the workbook." type="5" refreshedVersion="0" background="1" saveData="1">
    <dbPr connection="Provider=Microsoft.Mashup.OleDb.1;Data Source=$Workbook$;Location=&quot;Income Statment - As Reported&quot;;Extended Properties=&quot;&quot;" command="SELECT * FROM [Income Statment - As Report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<sst xmlns="http://schemas.openxmlformats.org/spreadsheetml/2006/main" count="663" uniqueCount="458">
  <si>
    <t>Colour Code</t>
  </si>
  <si>
    <t>Green = Historical Number</t>
  </si>
  <si>
    <t>Black = Formulas/links to another sheet</t>
  </si>
  <si>
    <t>Blue = Hardcoded numbers</t>
  </si>
  <si>
    <t>Highlighted Blue = Manual input/assumptions</t>
  </si>
  <si>
    <t>Highlighted in Yellow = Unsure, highlighted part might contain bugs that needs to be addressed</t>
  </si>
  <si>
    <t>USD</t>
  </si>
  <si>
    <t>FX Rate</t>
  </si>
  <si>
    <t>Price Upside</t>
  </si>
  <si>
    <t>FS Shares Outstanding (MM)</t>
  </si>
  <si>
    <t>3Y Dividend Yield</t>
  </si>
  <si>
    <t>Market Cap (MM)</t>
  </si>
  <si>
    <t>Total Return</t>
  </si>
  <si>
    <t>(+) Debt</t>
  </si>
  <si>
    <t>(+) Minority Interest</t>
  </si>
  <si>
    <t>(-) Cash</t>
  </si>
  <si>
    <t>Scenario Toggle</t>
  </si>
  <si>
    <t>&lt;- 1: Bull, 2: Base, 3: Bear</t>
  </si>
  <si>
    <t>Enterprise Value</t>
  </si>
  <si>
    <t>Weight</t>
  </si>
  <si>
    <t>DCF TP (Exit Multiple)</t>
  </si>
  <si>
    <t>Upside/Downside</t>
  </si>
  <si>
    <t>DCF TP (Terminal Growth)</t>
  </si>
  <si>
    <t>Comps</t>
  </si>
  <si>
    <t>Name</t>
  </si>
  <si>
    <t>Ticker</t>
  </si>
  <si>
    <t>Currency</t>
  </si>
  <si>
    <t>Last Full FY</t>
  </si>
  <si>
    <t>Last Edit:</t>
  </si>
  <si>
    <t>FY</t>
  </si>
  <si>
    <t>A</t>
  </si>
  <si>
    <t>Period Start</t>
  </si>
  <si>
    <t>Period End</t>
  </si>
  <si>
    <t>Days in Period</t>
  </si>
  <si>
    <t>Income Statement</t>
  </si>
  <si>
    <t>Revenue</t>
  </si>
  <si>
    <t>Revenue Growth</t>
  </si>
  <si>
    <t>Income from JV and Associates</t>
  </si>
  <si>
    <t>Others</t>
  </si>
  <si>
    <t>Non-Controlling Interests</t>
  </si>
  <si>
    <t>Effective Tax Rate</t>
  </si>
  <si>
    <t>Nominal Tax Rate</t>
  </si>
  <si>
    <t>Other Model Inputs</t>
  </si>
  <si>
    <t>Capex / Sales</t>
  </si>
  <si>
    <t>Depreciation as a % of fixed assets</t>
  </si>
  <si>
    <t>Depreciation as a % of revenue</t>
  </si>
  <si>
    <t>SBC % of Revenue</t>
  </si>
  <si>
    <t>Cost of Debt</t>
  </si>
  <si>
    <t>Deferred Revenue / Total Revenue</t>
  </si>
  <si>
    <t>Working Capital</t>
  </si>
  <si>
    <t>Accounts receivable % of revenue</t>
  </si>
  <si>
    <t>Accounts receivable</t>
  </si>
  <si>
    <t xml:space="preserve">Accounts payable </t>
  </si>
  <si>
    <t>Other current assets</t>
  </si>
  <si>
    <t>Other non-current assets</t>
  </si>
  <si>
    <t>Other current liabilities</t>
  </si>
  <si>
    <t>Other non-current liabilities</t>
  </si>
  <si>
    <t>Cash flow statement</t>
  </si>
  <si>
    <t>CFI</t>
  </si>
  <si>
    <t>Sales of PPE</t>
  </si>
  <si>
    <t>Acquisitions</t>
  </si>
  <si>
    <t>Proceeds from Investment</t>
  </si>
  <si>
    <t>Divestments</t>
  </si>
  <si>
    <t>CFF</t>
  </si>
  <si>
    <t>Share issuance price</t>
  </si>
  <si>
    <t>Share repo price</t>
  </si>
  <si>
    <t># of shares issued</t>
  </si>
  <si>
    <t># of shares repo'ed</t>
  </si>
  <si>
    <t>Proceeds from share issuance</t>
  </si>
  <si>
    <t>Cash used for share repo</t>
  </si>
  <si>
    <t>Proceeds used for Capital stocks</t>
  </si>
  <si>
    <t>Dividends paid</t>
  </si>
  <si>
    <t>Incr(Decr) in insurance reserves</t>
  </si>
  <si>
    <t>Other financing activities</t>
  </si>
  <si>
    <t>FX effects</t>
  </si>
  <si>
    <t>Dividend payout ratio</t>
  </si>
  <si>
    <t>Dividend payout</t>
  </si>
  <si>
    <t>Dividend growth</t>
  </si>
  <si>
    <t>Consolidated Statement of Income</t>
  </si>
  <si>
    <t xml:space="preserve">Revenue </t>
  </si>
  <si>
    <t>Operating Income (EBIT)</t>
  </si>
  <si>
    <t>Interest expense</t>
  </si>
  <si>
    <t>Pre-tax Income</t>
  </si>
  <si>
    <t>Income Tax Expense</t>
  </si>
  <si>
    <t>NCI</t>
  </si>
  <si>
    <t>Net Income</t>
  </si>
  <si>
    <t>FCF Build</t>
  </si>
  <si>
    <t>D&amp;A</t>
  </si>
  <si>
    <t>EBITDA</t>
  </si>
  <si>
    <t>Capex</t>
  </si>
  <si>
    <t>Change in NWC</t>
  </si>
  <si>
    <t>FCFF (OCF - Capex)</t>
  </si>
  <si>
    <t>Stock based comp</t>
  </si>
  <si>
    <t>Per share</t>
  </si>
  <si>
    <t>GAAP EPS - Basic</t>
  </si>
  <si>
    <t>GAAP EPS - Diluted</t>
  </si>
  <si>
    <t>Net Cash</t>
  </si>
  <si>
    <t>Dividend per share (Basic)</t>
  </si>
  <si>
    <t>Consensus</t>
  </si>
  <si>
    <t># of estimates</t>
  </si>
  <si>
    <t>BBG Best Revenue</t>
  </si>
  <si>
    <t>v.s. Consensus</t>
  </si>
  <si>
    <t>Growth Matrix &amp; Margins</t>
  </si>
  <si>
    <t>Revenue growth</t>
  </si>
  <si>
    <t>Net Income growth</t>
  </si>
  <si>
    <t>EBITDA growth</t>
  </si>
  <si>
    <t>Net income margin</t>
  </si>
  <si>
    <t>EBIT margin</t>
  </si>
  <si>
    <t>EBITDA margin</t>
  </si>
  <si>
    <t>Consolidated Balance Sheet</t>
  </si>
  <si>
    <t>Assets</t>
  </si>
  <si>
    <t>Cash &amp; cash receivables</t>
  </si>
  <si>
    <t>Inventory</t>
  </si>
  <si>
    <t>Other current asset</t>
  </si>
  <si>
    <t>Total Current Assets</t>
  </si>
  <si>
    <t>Net fixed assets</t>
  </si>
  <si>
    <t>Intangibles (Net)</t>
  </si>
  <si>
    <t>Goodwill</t>
  </si>
  <si>
    <t>Prepaid expense</t>
  </si>
  <si>
    <t>Deferred tax assets</t>
  </si>
  <si>
    <t>Other non-currente asset</t>
  </si>
  <si>
    <t>Total non-current asset</t>
  </si>
  <si>
    <t>Total Assets</t>
  </si>
  <si>
    <t>Liabilities &amp; Shareholder Equity</t>
  </si>
  <si>
    <t>Accounts Payable</t>
  </si>
  <si>
    <t>Accrued Taxes</t>
  </si>
  <si>
    <t>Short-term Debt</t>
  </si>
  <si>
    <t>Other accounts payable and accruals</t>
  </si>
  <si>
    <t>Deferred Revenue</t>
  </si>
  <si>
    <t>Total current liabilities</t>
  </si>
  <si>
    <t>Long-term debt</t>
  </si>
  <si>
    <t>Unearned revenue</t>
  </si>
  <si>
    <t>Deferred tax liabilities</t>
  </si>
  <si>
    <t xml:space="preserve">Other non-current liabilities </t>
  </si>
  <si>
    <t>Total non-current liabilities</t>
  </si>
  <si>
    <t>Total Liabilities</t>
  </si>
  <si>
    <t>Minority interest</t>
  </si>
  <si>
    <t>Common Stock</t>
  </si>
  <si>
    <t>Additional Paid In Capital</t>
  </si>
  <si>
    <t>Treasury Stock</t>
  </si>
  <si>
    <t>Retained earnings</t>
  </si>
  <si>
    <t>Total Equity</t>
  </si>
  <si>
    <t>Total liabilities and sharholder equity</t>
  </si>
  <si>
    <t>Check</t>
  </si>
  <si>
    <t>Net Debt</t>
  </si>
  <si>
    <t>Change in Net Debt</t>
  </si>
  <si>
    <t>Invested Capital  - Sources</t>
  </si>
  <si>
    <t>Debt</t>
  </si>
  <si>
    <t>Equity</t>
  </si>
  <si>
    <t>Other Liabilities</t>
  </si>
  <si>
    <t>Invested Capital - Uses</t>
  </si>
  <si>
    <t>Net Working Capital</t>
  </si>
  <si>
    <t>Fixed Assets</t>
  </si>
  <si>
    <t>Other Assets</t>
  </si>
  <si>
    <t>Invested Capital Ex Cash</t>
  </si>
  <si>
    <t>Incremental Capital</t>
  </si>
  <si>
    <t>A/R turnover</t>
  </si>
  <si>
    <t>Days sales outstanding</t>
  </si>
  <si>
    <t>A/P turnover</t>
  </si>
  <si>
    <t>Days payable outstanding</t>
  </si>
  <si>
    <t>Cash Conversion cycle</t>
  </si>
  <si>
    <t>Depreciation and amortization schedule</t>
  </si>
  <si>
    <t>Depreciation expense</t>
  </si>
  <si>
    <t>Net intangibles</t>
  </si>
  <si>
    <t>Consolidated Cash Flow Statement</t>
  </si>
  <si>
    <t>CFO</t>
  </si>
  <si>
    <t xml:space="preserve">Depreciation expense </t>
  </si>
  <si>
    <t>Amortization expense</t>
  </si>
  <si>
    <t>Depreciation &amp; amortization expense</t>
  </si>
  <si>
    <t>Other non-cash items</t>
  </si>
  <si>
    <t>Change in WC</t>
  </si>
  <si>
    <t xml:space="preserve">+ (Incr) Decr in Accounts Receivable </t>
  </si>
  <si>
    <t>+ Incr (Decr) in Accounts Payable</t>
  </si>
  <si>
    <t>+ (Incr) Decr in Other assets/liabilities</t>
  </si>
  <si>
    <t>Capital Expenditures</t>
  </si>
  <si>
    <t>Sales of PP&amp;E</t>
  </si>
  <si>
    <t>Other Investment Activities</t>
  </si>
  <si>
    <t xml:space="preserve">Other </t>
  </si>
  <si>
    <t>Net Short-Term Debt Issued/Repaid</t>
  </si>
  <si>
    <t>Total Debt Issued/Repaid</t>
  </si>
  <si>
    <t>Incr (Decr) in Capital Stocks</t>
  </si>
  <si>
    <t>Dividends Paid</t>
  </si>
  <si>
    <t>Incr(Decr) in Deposits</t>
  </si>
  <si>
    <t>Incr(Decr) Insurance Reserves</t>
  </si>
  <si>
    <t>Other Financing Activities</t>
  </si>
  <si>
    <t>Net Cash from Financing Activities</t>
  </si>
  <si>
    <t>Net Incr(Decr) in Cash and Equivalents</t>
  </si>
  <si>
    <t>Cash and Equivalents at the Beginning of year</t>
  </si>
  <si>
    <t>Foreign Exchange Effects</t>
  </si>
  <si>
    <t>Cash and Equivalents at the end of year</t>
  </si>
  <si>
    <t>Ratios</t>
  </si>
  <si>
    <t>Capital Intensity</t>
  </si>
  <si>
    <t>Capex / EBITDA</t>
  </si>
  <si>
    <t>Capex / Assets</t>
  </si>
  <si>
    <t>Changes in NWC / Sales</t>
  </si>
  <si>
    <t>Leverage</t>
  </si>
  <si>
    <t>Debt / EBITDA</t>
  </si>
  <si>
    <t xml:space="preserve">Net Debt / EBITDA </t>
  </si>
  <si>
    <t>Debt / Capital</t>
  </si>
  <si>
    <t>Debt / Equity</t>
  </si>
  <si>
    <t>Current Portion of LT Debt</t>
  </si>
  <si>
    <t>LT Debt</t>
  </si>
  <si>
    <t>DEBT</t>
  </si>
  <si>
    <t>Share Buybacks</t>
  </si>
  <si>
    <t>Weighted Average Number of Shares</t>
  </si>
  <si>
    <t># of Shares Issued</t>
  </si>
  <si>
    <t># of Shares Repurchased</t>
  </si>
  <si>
    <t>ROIC</t>
  </si>
  <si>
    <t>ROE</t>
  </si>
  <si>
    <t>Fwd P/E - Basic</t>
  </si>
  <si>
    <t>Fwd P/E - Diluted</t>
  </si>
  <si>
    <t>EV/Fwd EBITDA (Diluted)</t>
  </si>
  <si>
    <t>Justified P/E ratio</t>
  </si>
  <si>
    <t>Revenue Breakdown</t>
  </si>
  <si>
    <t>Total Revenue</t>
  </si>
  <si>
    <t>YoY Growth</t>
  </si>
  <si>
    <t>Total Revenue Growth</t>
  </si>
  <si>
    <t>Revenue Mix</t>
  </si>
  <si>
    <t>Total</t>
  </si>
  <si>
    <t>Scenario Analysis</t>
  </si>
  <si>
    <t>Choice:</t>
  </si>
  <si>
    <t>&lt;-Toggle in the Summary Tab</t>
  </si>
  <si>
    <t>Bull - 1</t>
  </si>
  <si>
    <t>Base - 2</t>
  </si>
  <si>
    <t xml:space="preserve"> </t>
  </si>
  <si>
    <t>Bear - 3</t>
  </si>
  <si>
    <t>WACC</t>
  </si>
  <si>
    <t>Tax Rate</t>
  </si>
  <si>
    <t>Cost of Debt * (1- tax)</t>
  </si>
  <si>
    <t>Risk Free Rate</t>
  </si>
  <si>
    <t>Beta</t>
  </si>
  <si>
    <t>Equity Risk Premium</t>
  </si>
  <si>
    <t>Cost of Equity</t>
  </si>
  <si>
    <t>D/MV</t>
  </si>
  <si>
    <t>E/MV</t>
  </si>
  <si>
    <t>Terminal EV/EBITDA</t>
  </si>
  <si>
    <t>Terminal Growth Rate</t>
  </si>
  <si>
    <t>EBIT</t>
  </si>
  <si>
    <t>EBIT Margin</t>
  </si>
  <si>
    <t>EBITDA Margin</t>
  </si>
  <si>
    <t>Tax</t>
  </si>
  <si>
    <t>NOPAT</t>
  </si>
  <si>
    <t>(-) Capex</t>
  </si>
  <si>
    <t>(+) D&amp;A</t>
  </si>
  <si>
    <t>(+/-) Changes in NWC</t>
  </si>
  <si>
    <t>(-) Changes in Other Assets</t>
  </si>
  <si>
    <t>FCFF</t>
  </si>
  <si>
    <t>FCFF Growth</t>
  </si>
  <si>
    <t>FCFF/NOPAT</t>
  </si>
  <si>
    <t>Capex / Revenue</t>
  </si>
  <si>
    <t>PV of FCFF</t>
  </si>
  <si>
    <t>Terminal Value (Exit Multiple)</t>
  </si>
  <si>
    <t>PV of TV (Exit Multiple)</t>
  </si>
  <si>
    <t>Terminal Value (Terminal Growth)</t>
  </si>
  <si>
    <t>PV of TV (Terminal Growth)</t>
  </si>
  <si>
    <t>Terminal Value as a % of NPV (Exit Multiple)</t>
  </si>
  <si>
    <t>Terminal Value as a % of NPV (Terminal Growth)</t>
  </si>
  <si>
    <t>DCF Per Share (Diluted)</t>
  </si>
  <si>
    <t>Per Share</t>
  </si>
  <si>
    <t>Share Count - Diluted</t>
  </si>
  <si>
    <t>PV of FCFF per share</t>
  </si>
  <si>
    <t>Multiples Approach</t>
  </si>
  <si>
    <t>EV</t>
  </si>
  <si>
    <t>Less: Debt</t>
  </si>
  <si>
    <t>Less: Non-Controlling Interest</t>
  </si>
  <si>
    <t>Plus: Cash</t>
  </si>
  <si>
    <t>Intrinsic Value</t>
  </si>
  <si>
    <t>Current Share Price</t>
  </si>
  <si>
    <t>Terminal Growth Approach</t>
  </si>
  <si>
    <t>Sensitivity Analysis</t>
  </si>
  <si>
    <t>Multiple Approach</t>
  </si>
  <si>
    <t>Exit Multiple</t>
  </si>
  <si>
    <t>Company</t>
  </si>
  <si>
    <t>Country</t>
  </si>
  <si>
    <t>Market Cap</t>
  </si>
  <si>
    <t>Revenue Growth (TTM)</t>
  </si>
  <si>
    <t>Operating Margin</t>
  </si>
  <si>
    <t>Net Debt / EBITDA</t>
  </si>
  <si>
    <t>Median</t>
  </si>
  <si>
    <t>Mean</t>
  </si>
  <si>
    <t>Comps Valuation</t>
  </si>
  <si>
    <t>Method</t>
  </si>
  <si>
    <t>TP</t>
  </si>
  <si>
    <t>Blended TP</t>
  </si>
  <si>
    <t>P/E</t>
  </si>
  <si>
    <t>Equity Value</t>
  </si>
  <si>
    <t>Fwd S/O</t>
  </si>
  <si>
    <t>Price</t>
  </si>
  <si>
    <t>EPS</t>
  </si>
  <si>
    <t>ABM Industries Inc</t>
  </si>
  <si>
    <t>ABM</t>
  </si>
  <si>
    <t>-</t>
  </si>
  <si>
    <t>Unbilled revenues</t>
  </si>
  <si>
    <t>PP&amp;E</t>
  </si>
  <si>
    <t>Removed days inventory outstanding from calculation</t>
  </si>
  <si>
    <t>Acquisition of businesses</t>
  </si>
  <si>
    <t>Diluted Weighted Average Shares</t>
  </si>
  <si>
    <t>Business &amp; Industry</t>
  </si>
  <si>
    <t>Manufacturing &amp; Distribution</t>
  </si>
  <si>
    <t>Education</t>
  </si>
  <si>
    <t>Aviation</t>
  </si>
  <si>
    <t>Technical Solutions</t>
  </si>
  <si>
    <t>EBIT Breakdown</t>
  </si>
  <si>
    <t>Total EBIT</t>
  </si>
  <si>
    <t>Total Segment Operating profit</t>
  </si>
  <si>
    <t>Total Other Costs</t>
  </si>
  <si>
    <t> Insurance deposits / Self-insurance receivables</t>
  </si>
  <si>
    <t>Trade &amp; Other Receivables</t>
  </si>
  <si>
    <t>Amortization</t>
  </si>
  <si>
    <t>Restructuring</t>
  </si>
  <si>
    <t>Segment Operating Expenses</t>
  </si>
  <si>
    <t>Corporate expense (unallocated)</t>
  </si>
  <si>
    <t>Adjustments</t>
  </si>
  <si>
    <t>Insurance claims</t>
  </si>
  <si>
    <t>Operating Expense growth</t>
  </si>
  <si>
    <t>Corporate expense (unallocated) growth</t>
  </si>
  <si>
    <t>Corporate expense (unallocated) % of revenue</t>
  </si>
  <si>
    <t>As % of revenue</t>
  </si>
  <si>
    <t>Accounts payable % of Opex</t>
  </si>
  <si>
    <t>Change in Insurance Recoverables</t>
  </si>
  <si>
    <t>Costs in Excess of Billed / Revenue %</t>
  </si>
  <si>
    <t>Insurance Reserves / Revenue %</t>
  </si>
  <si>
    <t>Investments in Unconsolidated Affiliates</t>
  </si>
  <si>
    <t>As % of Revenue</t>
  </si>
  <si>
    <t>Overall EBIT margin</t>
  </si>
  <si>
    <t>+ (Incr) Decr in Unbilled revenues</t>
  </si>
  <si>
    <t>Debt Schedule</t>
  </si>
  <si>
    <t>Term Loan Repayments</t>
  </si>
  <si>
    <t>Cash flow before debt financing</t>
  </si>
  <si>
    <t>Prexisting Term Loan Repayments</t>
  </si>
  <si>
    <t>Implied interest rate</t>
  </si>
  <si>
    <t>Term loan balance</t>
  </si>
  <si>
    <t>Total debt</t>
  </si>
  <si>
    <t>Interest Expense</t>
  </si>
  <si>
    <t>ST Debt</t>
  </si>
  <si>
    <t>Total LT Debt</t>
  </si>
  <si>
    <t>Amortization % change</t>
  </si>
  <si>
    <t>Cost</t>
  </si>
  <si>
    <t>Intangible Allocation %</t>
  </si>
  <si>
    <t>Addition to Intangibles</t>
  </si>
  <si>
    <t>Addition to Goodwill</t>
  </si>
  <si>
    <t>Annual addition to amortization</t>
  </si>
  <si>
    <t>Total amortization</t>
  </si>
  <si>
    <t>FY2026 E</t>
  </si>
  <si>
    <t>FY2027 E</t>
  </si>
  <si>
    <t>FY2028 E</t>
  </si>
  <si>
    <t>FY2029 E</t>
  </si>
  <si>
    <t>FY2030 E</t>
  </si>
  <si>
    <t>FY2031 E</t>
  </si>
  <si>
    <t>FY2032 E</t>
  </si>
  <si>
    <t>FY2033 E</t>
  </si>
  <si>
    <t>FY2034 E</t>
  </si>
  <si>
    <t>FY2035 E</t>
  </si>
  <si>
    <t>in MMs of USD</t>
  </si>
  <si>
    <t>Amortization of pre-existing Intangible Assets</t>
  </si>
  <si>
    <t>Minimum cash balance</t>
  </si>
  <si>
    <t>New acquisition loan repayments</t>
  </si>
  <si>
    <t>New acquisition amortization</t>
  </si>
  <si>
    <t>Revolver balance</t>
  </si>
  <si>
    <t>US 10 year yield</t>
  </si>
  <si>
    <t>&lt;- ABM's interest rate</t>
  </si>
  <si>
    <t>5Y Beta</t>
  </si>
  <si>
    <t>US Equity Risk Premium Damodaran</t>
  </si>
  <si>
    <t>(-) Acquisitions</t>
  </si>
  <si>
    <t>&lt;- Already included in NWC</t>
  </si>
  <si>
    <t>Share price</t>
  </si>
  <si>
    <t>EV/Revenue</t>
  </si>
  <si>
    <t>EV/EBITDA</t>
  </si>
  <si>
    <t>Net Debt / Revenue</t>
  </si>
  <si>
    <t>FCF Yield</t>
  </si>
  <si>
    <t>Integrated facilities &amp; support services</t>
  </si>
  <si>
    <t>Aramark</t>
  </si>
  <si>
    <t>ARMK-US</t>
  </si>
  <si>
    <t>USA</t>
  </si>
  <si>
    <t>Sodexo</t>
  </si>
  <si>
    <t>SW-FR</t>
  </si>
  <si>
    <t>FR</t>
  </si>
  <si>
    <t>ISS</t>
  </si>
  <si>
    <t>ISS-DK</t>
  </si>
  <si>
    <t>DK</t>
  </si>
  <si>
    <t>Cintas</t>
  </si>
  <si>
    <t>CTAS-US</t>
  </si>
  <si>
    <t>Compass Group</t>
  </si>
  <si>
    <t>CPG-GB</t>
  </si>
  <si>
    <t>UK</t>
  </si>
  <si>
    <t>Rentokil Initial</t>
  </si>
  <si>
    <t>RTO-GB</t>
  </si>
  <si>
    <t>Rollins</t>
  </si>
  <si>
    <t>ROL-US</t>
  </si>
  <si>
    <t>Ecolab</t>
  </si>
  <si>
    <t>ECL-US</t>
  </si>
  <si>
    <t>EMCOR Group</t>
  </si>
  <si>
    <t>EME-US</t>
  </si>
  <si>
    <t>Comfort Systems USA</t>
  </si>
  <si>
    <t>FIX-US</t>
  </si>
  <si>
    <t>CBRE Group A</t>
  </si>
  <si>
    <t>CBRE-US</t>
  </si>
  <si>
    <t>Jones Lang LaSalle</t>
  </si>
  <si>
    <t>JLL-US</t>
  </si>
  <si>
    <t>Brink's</t>
  </si>
  <si>
    <t>BCO-US</t>
  </si>
  <si>
    <t>EV/ Revenue</t>
  </si>
  <si>
    <t>EV/ EBITDA</t>
  </si>
  <si>
    <t>`</t>
  </si>
  <si>
    <t>Revenue multiple</t>
  </si>
  <si>
    <t>Previous acquisitions</t>
  </si>
  <si>
    <t>Purchase price</t>
  </si>
  <si>
    <t>Revenue/Price</t>
  </si>
  <si>
    <t>Able services (2021)</t>
  </si>
  <si>
    <t>Ravenvolt (2022)</t>
  </si>
  <si>
    <t>Momentum Support (2022)</t>
  </si>
  <si>
    <t>LMC FM Limited (2025)</t>
  </si>
  <si>
    <t>Quality uptime (2024)</t>
  </si>
  <si>
    <t>Additional non-organic revenue from acquisitions</t>
  </si>
  <si>
    <t>WGNSTAR (2026)</t>
  </si>
  <si>
    <t>Avg</t>
  </si>
  <si>
    <t>Revenue contribution</t>
  </si>
  <si>
    <t>Additional non-organic EBIT from acquisitions</t>
  </si>
  <si>
    <t>Debt used</t>
  </si>
  <si>
    <t>Cash used</t>
  </si>
  <si>
    <t>&lt;- first 5 years using management guidance</t>
  </si>
  <si>
    <t>&lt;- assumed 10% afterwards</t>
  </si>
  <si>
    <t>Other assumptions:</t>
  </si>
  <si>
    <t>- 20% of acquisition allocated to intantgibles</t>
  </si>
  <si>
    <t>- Rest allocated to goodwill</t>
  </si>
  <si>
    <t>- All of acquisition costs financed through debt</t>
  </si>
  <si>
    <t xml:space="preserve">Other Balance Sheet Lines </t>
  </si>
  <si>
    <t>Acquired companies' growth</t>
  </si>
  <si>
    <t>Acquired company's margin</t>
  </si>
  <si>
    <t>- All of the revenue from acquired companies has a growth rate of 15%, moderating in last 5 years</t>
  </si>
  <si>
    <t>Thesis 1 - technical segments</t>
  </si>
  <si>
    <t>Technical solutions</t>
  </si>
  <si>
    <t>FY2025</t>
  </si>
  <si>
    <t>Implied revenue based on revenue growth</t>
  </si>
  <si>
    <t>&lt;- Target</t>
  </si>
  <si>
    <t>Target size for revenue as % of Total</t>
  </si>
  <si>
    <t>Implied % of total revenue</t>
  </si>
  <si>
    <t>Base</t>
  </si>
  <si>
    <t>Bull</t>
  </si>
  <si>
    <t>Bear</t>
  </si>
  <si>
    <t>Technical Solutions Revenue Growth</t>
  </si>
  <si>
    <t>B&amp;I Margins</t>
  </si>
  <si>
    <t>M&amp;D Margins</t>
  </si>
  <si>
    <t>Overall margins change</t>
  </si>
  <si>
    <t>25th percentile</t>
  </si>
  <si>
    <t>B&amp;I</t>
  </si>
  <si>
    <t>M&amp;D</t>
  </si>
  <si>
    <t>ATS</t>
  </si>
  <si>
    <t>Growth</t>
  </si>
  <si>
    <t>Margin</t>
  </si>
  <si>
    <t>- The debt is amortized at 5% p.a.</t>
  </si>
  <si>
    <t>&lt;- Assumed</t>
  </si>
  <si>
    <t>x5 effect for 3rd thesis</t>
  </si>
  <si>
    <t>- EBIT margin assumed at 11%, since acquisition's EBIT normally 100-200 bps above segment's, and acquisitions are focused on ATS and M&amp;D segments</t>
  </si>
  <si>
    <t>Terminal</t>
  </si>
  <si>
    <t>Growth Rate</t>
  </si>
  <si>
    <t>Segment Operating Expenses as a % of Revenue</t>
  </si>
  <si>
    <t>Adjusted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</si>
</sst>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0.0"/>
    <numFmt numFmtId="166" formatCode="_(* #,##0_);_(* \(#,##0\);_(* &quot;-&quot;??_);_(@_)"/>
    <numFmt numFmtId="167" formatCode="0.0%"/>
    <numFmt numFmtId="168" formatCode="0.0000%"/>
    <numFmt numFmtId="169" formatCode="00.00\x"/>
    <numFmt numFmtId="170" formatCode="_-&quot;$&quot;* #,##0_-;\-&quot;$&quot;* #,##0_-;_-&quot;$&quot;* &quot;-&quot;??_-;_-@_-"/>
    <numFmt numFmtId="171" formatCode="00.0\x"/>
    <numFmt numFmtId="172" formatCode="0\x"/>
    <numFmt numFmtId="173" formatCode="00.000\x"/>
    <numFmt numFmtId="174" formatCode="0.00\x"/>
    <numFmt numFmtId="175" formatCode="[$-F800]dddd\,\ mmmm\ dd\,\ yyyy"/>
    <numFmt numFmtId="176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10" borderId="8">
      <alignment horizontal="right"/>
    </xf>
  </cellStyleXfs>
  <cellXfs count="32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5" fillId="3" borderId="0" xfId="0" applyFont="1" applyFill="1" applyAlignment="1">
      <alignment horizontal="left" indent="1"/>
    </xf>
    <xf numFmtId="0" fontId="0" fillId="3" borderId="0" xfId="0" applyFill="1"/>
    <xf numFmtId="0" fontId="3" fillId="2" borderId="0" xfId="0" applyFont="1" applyFill="1"/>
    <xf numFmtId="0" fontId="5" fillId="2" borderId="0" xfId="0" applyFont="1" applyFill="1"/>
    <xf numFmtId="0" fontId="2" fillId="4" borderId="0" xfId="0" applyFont="1" applyFill="1"/>
    <xf numFmtId="0" fontId="2" fillId="5" borderId="0" xfId="0" applyFont="1" applyFill="1"/>
    <xf numFmtId="165" fontId="0" fillId="2" borderId="0" xfId="0" applyNumberFormat="1" applyFill="1"/>
    <xf numFmtId="0" fontId="6" fillId="2" borderId="0" xfId="0" applyFont="1" applyFill="1"/>
    <xf numFmtId="0" fontId="0" fillId="6" borderId="0" xfId="0" applyFill="1"/>
    <xf numFmtId="0" fontId="6" fillId="6" borderId="0" xfId="0" applyFont="1" applyFill="1"/>
    <xf numFmtId="0" fontId="6" fillId="2" borderId="0" xfId="0" applyFont="1" applyFill="1" applyAlignment="1">
      <alignment horizontal="left" indent="1"/>
    </xf>
    <xf numFmtId="0" fontId="7" fillId="2" borderId="1" xfId="0" applyFont="1" applyFill="1" applyBorder="1"/>
    <xf numFmtId="0" fontId="7" fillId="2" borderId="0" xfId="0" applyFont="1" applyFill="1"/>
    <xf numFmtId="9" fontId="6" fillId="2" borderId="0" xfId="2" applyFont="1" applyFill="1"/>
    <xf numFmtId="9" fontId="7" fillId="2" borderId="1" xfId="2" applyFont="1" applyFill="1" applyBorder="1"/>
    <xf numFmtId="9" fontId="5" fillId="3" borderId="0" xfId="2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9" fontId="0" fillId="2" borderId="0" xfId="2" applyFont="1" applyFill="1"/>
    <xf numFmtId="166" fontId="0" fillId="6" borderId="0" xfId="1" applyNumberFormat="1" applyFont="1" applyFill="1"/>
    <xf numFmtId="1" fontId="0" fillId="2" borderId="0" xfId="0" applyNumberFormat="1" applyFill="1"/>
    <xf numFmtId="0" fontId="3" fillId="2" borderId="2" xfId="0" applyFont="1" applyFill="1" applyBorder="1"/>
    <xf numFmtId="10" fontId="0" fillId="2" borderId="0" xfId="2" applyNumberFormat="1" applyFont="1" applyFill="1"/>
    <xf numFmtId="0" fontId="3" fillId="6" borderId="0" xfId="0" applyFont="1" applyFill="1"/>
    <xf numFmtId="0" fontId="7" fillId="6" borderId="0" xfId="0" applyFont="1" applyFill="1"/>
    <xf numFmtId="0" fontId="2" fillId="7" borderId="0" xfId="0" applyFont="1" applyFill="1"/>
    <xf numFmtId="0" fontId="9" fillId="7" borderId="0" xfId="0" applyFont="1" applyFill="1"/>
    <xf numFmtId="0" fontId="2" fillId="2" borderId="0" xfId="0" applyFont="1" applyFill="1"/>
    <xf numFmtId="43" fontId="0" fillId="2" borderId="0" xfId="1" applyFont="1" applyFill="1"/>
    <xf numFmtId="166" fontId="3" fillId="2" borderId="0" xfId="1" applyNumberFormat="1" applyFont="1" applyFill="1"/>
    <xf numFmtId="166" fontId="4" fillId="2" borderId="0" xfId="1" applyNumberFormat="1" applyFont="1" applyFill="1"/>
    <xf numFmtId="166" fontId="0" fillId="2" borderId="0" xfId="1" applyNumberFormat="1" applyFont="1" applyFill="1"/>
    <xf numFmtId="166" fontId="3" fillId="2" borderId="1" xfId="1" applyNumberFormat="1" applyFont="1" applyFill="1" applyBorder="1"/>
    <xf numFmtId="166" fontId="3" fillId="2" borderId="2" xfId="1" applyNumberFormat="1" applyFont="1" applyFill="1" applyBorder="1"/>
    <xf numFmtId="0" fontId="3" fillId="2" borderId="3" xfId="0" applyFont="1" applyFill="1" applyBorder="1"/>
    <xf numFmtId="167" fontId="6" fillId="2" borderId="0" xfId="2" applyNumberFormat="1" applyFont="1" applyFill="1"/>
    <xf numFmtId="167" fontId="5" fillId="3" borderId="0" xfId="2" applyNumberFormat="1" applyFont="1" applyFill="1"/>
    <xf numFmtId="0" fontId="5" fillId="3" borderId="0" xfId="0" applyFont="1" applyFill="1"/>
    <xf numFmtId="0" fontId="0" fillId="2" borderId="0" xfId="0" applyFill="1" applyAlignment="1">
      <alignment horizontal="left"/>
    </xf>
    <xf numFmtId="0" fontId="2" fillId="8" borderId="0" xfId="0" applyFont="1" applyFill="1"/>
    <xf numFmtId="0" fontId="0" fillId="2" borderId="4" xfId="0" applyFill="1" applyBorder="1"/>
    <xf numFmtId="0" fontId="3" fillId="2" borderId="4" xfId="0" applyFont="1" applyFill="1" applyBorder="1"/>
    <xf numFmtId="0" fontId="0" fillId="2" borderId="0" xfId="0" quotePrefix="1" applyFill="1" applyAlignment="1">
      <alignment horizontal="left" indent="1"/>
    </xf>
    <xf numFmtId="0" fontId="9" fillId="2" borderId="0" xfId="0" applyFont="1" applyFill="1"/>
    <xf numFmtId="0" fontId="3" fillId="6" borderId="6" xfId="0" applyFont="1" applyFill="1" applyBorder="1"/>
    <xf numFmtId="166" fontId="6" fillId="2" borderId="0" xfId="1" applyNumberFormat="1" applyFont="1" applyFill="1"/>
    <xf numFmtId="43" fontId="0" fillId="2" borderId="0" xfId="0" applyNumberFormat="1" applyFill="1"/>
    <xf numFmtId="0" fontId="0" fillId="9" borderId="0" xfId="0" applyFill="1"/>
    <xf numFmtId="10" fontId="5" fillId="3" borderId="0" xfId="2" applyNumberFormat="1" applyFont="1" applyFill="1"/>
    <xf numFmtId="9" fontId="4" fillId="2" borderId="0" xfId="2" applyFont="1" applyFill="1"/>
    <xf numFmtId="166" fontId="5" fillId="3" borderId="0" xfId="1" applyNumberFormat="1" applyFont="1" applyFill="1"/>
    <xf numFmtId="167" fontId="0" fillId="2" borderId="0" xfId="2" applyNumberFormat="1" applyFont="1" applyFill="1"/>
    <xf numFmtId="10" fontId="5" fillId="3" borderId="0" xfId="1" applyNumberFormat="1" applyFont="1" applyFill="1"/>
    <xf numFmtId="9" fontId="5" fillId="3" borderId="0" xfId="1" applyNumberFormat="1" applyFont="1" applyFill="1"/>
    <xf numFmtId="0" fontId="0" fillId="2" borderId="1" xfId="0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9" fillId="8" borderId="13" xfId="0" applyFont="1" applyFill="1" applyBorder="1"/>
    <xf numFmtId="0" fontId="9" fillId="8" borderId="1" xfId="0" applyFont="1" applyFill="1" applyBorder="1"/>
    <xf numFmtId="0" fontId="9" fillId="8" borderId="14" xfId="0" applyFont="1" applyFill="1" applyBorder="1"/>
    <xf numFmtId="0" fontId="0" fillId="2" borderId="9" xfId="0" applyFill="1" applyBorder="1"/>
    <xf numFmtId="0" fontId="0" fillId="2" borderId="15" xfId="0" applyFill="1" applyBorder="1"/>
    <xf numFmtId="0" fontId="0" fillId="2" borderId="16" xfId="0" applyFill="1" applyBorder="1"/>
    <xf numFmtId="0" fontId="5" fillId="3" borderId="15" xfId="0" applyFont="1" applyFill="1" applyBorder="1"/>
    <xf numFmtId="10" fontId="5" fillId="3" borderId="15" xfId="0" applyNumberFormat="1" applyFont="1" applyFill="1" applyBorder="1"/>
    <xf numFmtId="10" fontId="0" fillId="2" borderId="15" xfId="0" applyNumberFormat="1" applyFill="1" applyBorder="1"/>
    <xf numFmtId="168" fontId="0" fillId="2" borderId="15" xfId="0" applyNumberFormat="1" applyFill="1" applyBorder="1"/>
    <xf numFmtId="9" fontId="5" fillId="3" borderId="15" xfId="0" applyNumberFormat="1" applyFont="1" applyFill="1" applyBorder="1"/>
    <xf numFmtId="167" fontId="0" fillId="2" borderId="17" xfId="2" applyNumberFormat="1" applyFont="1" applyFill="1" applyBorder="1"/>
    <xf numFmtId="0" fontId="0" fillId="2" borderId="13" xfId="0" applyFill="1" applyBorder="1"/>
    <xf numFmtId="0" fontId="11" fillId="2" borderId="0" xfId="0" applyFont="1" applyFill="1"/>
    <xf numFmtId="9" fontId="11" fillId="2" borderId="0" xfId="2" applyFont="1" applyFill="1"/>
    <xf numFmtId="0" fontId="11" fillId="2" borderId="0" xfId="0" applyFont="1" applyFill="1" applyAlignment="1">
      <alignment horizontal="left" indent="1"/>
    </xf>
    <xf numFmtId="0" fontId="3" fillId="6" borderId="1" xfId="0" applyFont="1" applyFill="1" applyBorder="1"/>
    <xf numFmtId="166" fontId="0" fillId="6" borderId="1" xfId="0" applyNumberFormat="1" applyFill="1" applyBorder="1"/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166" fontId="0" fillId="2" borderId="0" xfId="1" applyNumberFormat="1" applyFont="1" applyFill="1" applyBorder="1"/>
    <xf numFmtId="9" fontId="0" fillId="2" borderId="0" xfId="2" applyFont="1" applyFill="1" applyBorder="1"/>
    <xf numFmtId="0" fontId="2" fillId="4" borderId="9" xfId="0" applyFont="1" applyFill="1" applyBorder="1"/>
    <xf numFmtId="167" fontId="0" fillId="2" borderId="0" xfId="2" applyNumberFormat="1" applyFont="1" applyFill="1" applyBorder="1"/>
    <xf numFmtId="167" fontId="0" fillId="2" borderId="7" xfId="2" applyNumberFormat="1" applyFont="1" applyFill="1" applyBorder="1"/>
    <xf numFmtId="167" fontId="0" fillId="2" borderId="5" xfId="2" applyNumberFormat="1" applyFont="1" applyFill="1" applyBorder="1"/>
    <xf numFmtId="167" fontId="12" fillId="3" borderId="5" xfId="2" applyNumberFormat="1" applyFont="1" applyFill="1" applyBorder="1"/>
    <xf numFmtId="167" fontId="0" fillId="2" borderId="8" xfId="2" applyNumberFormat="1" applyFont="1" applyFill="1" applyBorder="1"/>
    <xf numFmtId="167" fontId="0" fillId="2" borderId="19" xfId="2" applyNumberFormat="1" applyFont="1" applyFill="1" applyBorder="1"/>
    <xf numFmtId="167" fontId="0" fillId="2" borderId="6" xfId="2" applyNumberFormat="1" applyFont="1" applyFill="1" applyBorder="1"/>
    <xf numFmtId="167" fontId="12" fillId="3" borderId="6" xfId="2" applyNumberFormat="1" applyFont="1" applyFill="1" applyBorder="1"/>
    <xf numFmtId="167" fontId="0" fillId="2" borderId="20" xfId="2" applyNumberFormat="1" applyFont="1" applyFill="1" applyBorder="1"/>
    <xf numFmtId="164" fontId="0" fillId="2" borderId="19" xfId="3" applyFont="1" applyFill="1" applyBorder="1"/>
    <xf numFmtId="171" fontId="0" fillId="2" borderId="5" xfId="2" applyNumberFormat="1" applyFont="1" applyFill="1" applyBorder="1"/>
    <xf numFmtId="171" fontId="12" fillId="3" borderId="5" xfId="1" applyNumberFormat="1" applyFont="1" applyFill="1" applyBorder="1"/>
    <xf numFmtId="171" fontId="0" fillId="2" borderId="8" xfId="2" applyNumberFormat="1" applyFont="1" applyFill="1" applyBorder="1"/>
    <xf numFmtId="167" fontId="0" fillId="2" borderId="1" xfId="2" applyNumberFormat="1" applyFont="1" applyFill="1" applyBorder="1"/>
    <xf numFmtId="167" fontId="0" fillId="2" borderId="14" xfId="2" applyNumberFormat="1" applyFont="1" applyFill="1" applyBorder="1"/>
    <xf numFmtId="167" fontId="0" fillId="2" borderId="15" xfId="2" applyNumberFormat="1" applyFont="1" applyFill="1" applyBorder="1"/>
    <xf numFmtId="167" fontId="0" fillId="2" borderId="4" xfId="2" applyNumberFormat="1" applyFont="1" applyFill="1" applyBorder="1"/>
    <xf numFmtId="170" fontId="0" fillId="2" borderId="1" xfId="3" applyNumberFormat="1" applyFont="1" applyFill="1" applyBorder="1"/>
    <xf numFmtId="170" fontId="0" fillId="2" borderId="14" xfId="3" applyNumberFormat="1" applyFont="1" applyFill="1" applyBorder="1"/>
    <xf numFmtId="170" fontId="0" fillId="2" borderId="0" xfId="3" applyNumberFormat="1" applyFont="1" applyFill="1" applyBorder="1"/>
    <xf numFmtId="170" fontId="0" fillId="2" borderId="15" xfId="3" applyNumberFormat="1" applyFont="1" applyFill="1" applyBorder="1"/>
    <xf numFmtId="170" fontId="0" fillId="2" borderId="4" xfId="3" applyNumberFormat="1" applyFont="1" applyFill="1" applyBorder="1"/>
    <xf numFmtId="170" fontId="0" fillId="2" borderId="17" xfId="3" applyNumberFormat="1" applyFont="1" applyFill="1" applyBorder="1"/>
    <xf numFmtId="167" fontId="9" fillId="11" borderId="0" xfId="2" applyNumberFormat="1" applyFont="1" applyFill="1" applyBorder="1"/>
    <xf numFmtId="167" fontId="0" fillId="12" borderId="0" xfId="2" applyNumberFormat="1" applyFont="1" applyFill="1" applyBorder="1"/>
    <xf numFmtId="170" fontId="0" fillId="12" borderId="0" xfId="3" applyNumberFormat="1" applyFont="1" applyFill="1" applyBorder="1"/>
    <xf numFmtId="170" fontId="9" fillId="11" borderId="0" xfId="3" applyNumberFormat="1" applyFont="1" applyFill="1" applyBorder="1"/>
    <xf numFmtId="0" fontId="2" fillId="8" borderId="13" xfId="0" applyFont="1" applyFill="1" applyBorder="1"/>
    <xf numFmtId="0" fontId="2" fillId="8" borderId="1" xfId="0" applyFont="1" applyFill="1" applyBorder="1"/>
    <xf numFmtId="0" fontId="14" fillId="2" borderId="0" xfId="0" applyFont="1" applyFill="1"/>
    <xf numFmtId="0" fontId="2" fillId="8" borderId="21" xfId="0" applyFont="1" applyFill="1" applyBorder="1"/>
    <xf numFmtId="0" fontId="2" fillId="8" borderId="22" xfId="0" applyFont="1" applyFill="1" applyBorder="1"/>
    <xf numFmtId="0" fontId="2" fillId="8" borderId="23" xfId="0" applyFont="1" applyFill="1" applyBorder="1"/>
    <xf numFmtId="0" fontId="0" fillId="2" borderId="24" xfId="0" applyFill="1" applyBorder="1"/>
    <xf numFmtId="0" fontId="0" fillId="2" borderId="25" xfId="0" applyFill="1" applyBorder="1"/>
    <xf numFmtId="0" fontId="3" fillId="2" borderId="26" xfId="0" applyFont="1" applyFill="1" applyBorder="1"/>
    <xf numFmtId="0" fontId="13" fillId="2" borderId="24" xfId="0" applyFont="1" applyFill="1" applyBorder="1"/>
    <xf numFmtId="0" fontId="13" fillId="2" borderId="28" xfId="0" applyFont="1" applyFill="1" applyBorder="1"/>
    <xf numFmtId="0" fontId="0" fillId="2" borderId="18" xfId="0" applyFill="1" applyBorder="1"/>
    <xf numFmtId="0" fontId="0" fillId="2" borderId="29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8" xfId="0" applyFill="1" applyBorder="1"/>
    <xf numFmtId="9" fontId="0" fillId="2" borderId="23" xfId="2" applyFont="1" applyFill="1" applyBorder="1"/>
    <xf numFmtId="9" fontId="0" fillId="2" borderId="29" xfId="2" applyFont="1" applyFill="1" applyBorder="1"/>
    <xf numFmtId="0" fontId="3" fillId="14" borderId="28" xfId="0" applyFont="1" applyFill="1" applyBorder="1"/>
    <xf numFmtId="0" fontId="3" fillId="14" borderId="18" xfId="0" applyFont="1" applyFill="1" applyBorder="1"/>
    <xf numFmtId="9" fontId="3" fillId="14" borderId="29" xfId="0" applyNumberFormat="1" applyFont="1" applyFill="1" applyBorder="1"/>
    <xf numFmtId="0" fontId="3" fillId="14" borderId="21" xfId="0" applyFont="1" applyFill="1" applyBorder="1"/>
    <xf numFmtId="0" fontId="3" fillId="14" borderId="22" xfId="0" applyFont="1" applyFill="1" applyBorder="1"/>
    <xf numFmtId="44" fontId="3" fillId="14" borderId="23" xfId="0" applyNumberFormat="1" applyFont="1" applyFill="1" applyBorder="1"/>
    <xf numFmtId="0" fontId="2" fillId="13" borderId="1" xfId="0" applyFont="1" applyFill="1" applyBorder="1"/>
    <xf numFmtId="0" fontId="2" fillId="13" borderId="14" xfId="0" applyFont="1" applyFill="1" applyBorder="1"/>
    <xf numFmtId="166" fontId="0" fillId="2" borderId="15" xfId="1" applyNumberFormat="1" applyFont="1" applyFill="1" applyBorder="1"/>
    <xf numFmtId="9" fontId="0" fillId="2" borderId="15" xfId="2" applyFont="1" applyFill="1" applyBorder="1"/>
    <xf numFmtId="166" fontId="0" fillId="2" borderId="4" xfId="1" applyNumberFormat="1" applyFont="1" applyFill="1" applyBorder="1"/>
    <xf numFmtId="166" fontId="0" fillId="2" borderId="17" xfId="1" applyNumberFormat="1" applyFont="1" applyFill="1" applyBorder="1"/>
    <xf numFmtId="166" fontId="0" fillId="2" borderId="1" xfId="1" applyNumberFormat="1" applyFont="1" applyFill="1" applyBorder="1"/>
    <xf numFmtId="166" fontId="4" fillId="6" borderId="0" xfId="1" applyNumberFormat="1" applyFont="1" applyFill="1"/>
    <xf numFmtId="166" fontId="6" fillId="6" borderId="0" xfId="1" applyNumberFormat="1" applyFont="1" applyFill="1"/>
    <xf numFmtId="166" fontId="8" fillId="2" borderId="1" xfId="1" applyNumberFormat="1" applyFont="1" applyFill="1" applyBorder="1"/>
    <xf numFmtId="166" fontId="3" fillId="2" borderId="3" xfId="1" applyNumberFormat="1" applyFont="1" applyFill="1" applyBorder="1"/>
    <xf numFmtId="166" fontId="8" fillId="2" borderId="0" xfId="1" applyNumberFormat="1" applyFont="1" applyFill="1" applyBorder="1"/>
    <xf numFmtId="166" fontId="7" fillId="2" borderId="0" xfId="1" applyNumberFormat="1" applyFont="1" applyFill="1" applyBorder="1"/>
    <xf numFmtId="166" fontId="7" fillId="2" borderId="0" xfId="1" applyNumberFormat="1" applyFont="1" applyFill="1"/>
    <xf numFmtId="172" fontId="0" fillId="2" borderId="0" xfId="1" applyNumberFormat="1" applyFont="1" applyFill="1"/>
    <xf numFmtId="9" fontId="3" fillId="6" borderId="0" xfId="2" applyFont="1" applyFill="1"/>
    <xf numFmtId="9" fontId="3" fillId="6" borderId="6" xfId="2" applyFont="1" applyFill="1" applyBorder="1"/>
    <xf numFmtId="166" fontId="6" fillId="2" borderId="0" xfId="1" applyNumberFormat="1" applyFont="1" applyFill="1" applyAlignment="1">
      <alignment horizontal="left" indent="1"/>
    </xf>
    <xf numFmtId="166" fontId="7" fillId="2" borderId="1" xfId="1" applyNumberFormat="1" applyFont="1" applyFill="1" applyBorder="1"/>
    <xf numFmtId="166" fontId="3" fillId="2" borderId="0" xfId="1" applyNumberFormat="1" applyFont="1" applyFill="1" applyBorder="1"/>
    <xf numFmtId="166" fontId="0" fillId="2" borderId="9" xfId="1" applyNumberFormat="1" applyFont="1" applyFill="1" applyBorder="1"/>
    <xf numFmtId="166" fontId="0" fillId="6" borderId="0" xfId="1" applyNumberFormat="1" applyFont="1" applyFill="1" applyBorder="1"/>
    <xf numFmtId="9" fontId="0" fillId="2" borderId="9" xfId="2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15" borderId="0" xfId="0" applyFill="1"/>
    <xf numFmtId="170" fontId="3" fillId="2" borderId="1" xfId="3" applyNumberFormat="1" applyFont="1" applyFill="1" applyBorder="1"/>
    <xf numFmtId="170" fontId="0" fillId="2" borderId="0" xfId="0" applyNumberFormat="1" applyFill="1"/>
    <xf numFmtId="9" fontId="0" fillId="2" borderId="28" xfId="0" applyNumberFormat="1" applyFill="1" applyBorder="1"/>
    <xf numFmtId="170" fontId="0" fillId="2" borderId="18" xfId="0" applyNumberFormat="1" applyFill="1" applyBorder="1"/>
    <xf numFmtId="0" fontId="3" fillId="6" borderId="21" xfId="0" applyFont="1" applyFill="1" applyBorder="1"/>
    <xf numFmtId="0" fontId="0" fillId="6" borderId="22" xfId="0" applyFill="1" applyBorder="1"/>
    <xf numFmtId="0" fontId="0" fillId="6" borderId="23" xfId="0" applyFill="1" applyBorder="1"/>
    <xf numFmtId="0" fontId="3" fillId="2" borderId="24" xfId="0" applyFont="1" applyFill="1" applyBorder="1"/>
    <xf numFmtId="0" fontId="3" fillId="2" borderId="28" xfId="0" applyFont="1" applyFill="1" applyBorder="1"/>
    <xf numFmtId="9" fontId="13" fillId="2" borderId="29" xfId="2" applyFont="1" applyFill="1" applyBorder="1"/>
    <xf numFmtId="170" fontId="0" fillId="2" borderId="25" xfId="3" applyNumberFormat="1" applyFont="1" applyFill="1" applyBorder="1"/>
    <xf numFmtId="170" fontId="0" fillId="2" borderId="25" xfId="0" applyNumberFormat="1" applyFill="1" applyBorder="1"/>
    <xf numFmtId="170" fontId="5" fillId="3" borderId="0" xfId="3" applyNumberFormat="1" applyFont="1" applyFill="1" applyBorder="1"/>
    <xf numFmtId="170" fontId="5" fillId="3" borderId="0" xfId="0" applyNumberFormat="1" applyFont="1" applyFill="1"/>
    <xf numFmtId="170" fontId="6" fillId="2" borderId="0" xfId="0" applyNumberFormat="1" applyFont="1" applyFill="1"/>
    <xf numFmtId="170" fontId="5" fillId="2" borderId="0" xfId="0" applyNumberFormat="1" applyFont="1" applyFill="1"/>
    <xf numFmtId="170" fontId="3" fillId="2" borderId="1" xfId="1" applyNumberFormat="1" applyFont="1" applyFill="1" applyBorder="1"/>
    <xf numFmtId="170" fontId="3" fillId="2" borderId="27" xfId="1" applyNumberFormat="1" applyFont="1" applyFill="1" applyBorder="1"/>
    <xf numFmtId="170" fontId="2" fillId="8" borderId="7" xfId="0" applyNumberFormat="1" applyFont="1" applyFill="1" applyBorder="1"/>
    <xf numFmtId="9" fontId="13" fillId="2" borderId="0" xfId="2" applyFont="1" applyFill="1" applyBorder="1"/>
    <xf numFmtId="9" fontId="13" fillId="2" borderId="5" xfId="2" applyFont="1" applyFill="1" applyBorder="1"/>
    <xf numFmtId="9" fontId="13" fillId="2" borderId="25" xfId="2" applyFont="1" applyFill="1" applyBorder="1"/>
    <xf numFmtId="9" fontId="13" fillId="2" borderId="18" xfId="2" applyFont="1" applyFill="1" applyBorder="1"/>
    <xf numFmtId="9" fontId="5" fillId="3" borderId="5" xfId="2" applyFont="1" applyFill="1" applyBorder="1"/>
    <xf numFmtId="9" fontId="6" fillId="2" borderId="8" xfId="2" applyFont="1" applyFill="1" applyBorder="1"/>
    <xf numFmtId="0" fontId="15" fillId="8" borderId="22" xfId="0" applyFont="1" applyFill="1" applyBorder="1"/>
    <xf numFmtId="43" fontId="16" fillId="3" borderId="0" xfId="1" applyFont="1" applyFill="1" applyBorder="1"/>
    <xf numFmtId="0" fontId="0" fillId="9" borderId="0" xfId="0" applyFill="1" applyAlignment="1">
      <alignment horizontal="left" indent="1"/>
    </xf>
    <xf numFmtId="2" fontId="0" fillId="2" borderId="0" xfId="0" applyNumberFormat="1" applyFill="1"/>
    <xf numFmtId="10" fontId="0" fillId="2" borderId="11" xfId="0" applyNumberFormat="1" applyFill="1" applyBorder="1"/>
    <xf numFmtId="9" fontId="5" fillId="3" borderId="24" xfId="0" applyNumberFormat="1" applyFont="1" applyFill="1" applyBorder="1"/>
    <xf numFmtId="0" fontId="0" fillId="2" borderId="0" xfId="0" quotePrefix="1" applyFill="1"/>
    <xf numFmtId="166" fontId="3" fillId="6" borderId="1" xfId="0" applyNumberFormat="1" applyFont="1" applyFill="1" applyBorder="1"/>
    <xf numFmtId="0" fontId="4" fillId="2" borderId="0" xfId="0" applyFont="1" applyFill="1"/>
    <xf numFmtId="170" fontId="6" fillId="2" borderId="0" xfId="3" applyNumberFormat="1" applyFont="1" applyFill="1" applyBorder="1"/>
    <xf numFmtId="170" fontId="5" fillId="3" borderId="25" xfId="3" applyNumberFormat="1" applyFont="1" applyFill="1" applyBorder="1"/>
    <xf numFmtId="43" fontId="1" fillId="2" borderId="0" xfId="1" applyFont="1" applyFill="1"/>
    <xf numFmtId="174" fontId="0" fillId="2" borderId="11" xfId="0" applyNumberFormat="1" applyFill="1" applyBorder="1"/>
    <xf numFmtId="15" fontId="5" fillId="3" borderId="0" xfId="0" applyNumberFormat="1" applyFont="1" applyFill="1" applyAlignment="1">
      <alignment horizontal="left"/>
    </xf>
    <xf numFmtId="175" fontId="0" fillId="2" borderId="0" xfId="0" applyNumberFormat="1" applyFill="1"/>
    <xf numFmtId="0" fontId="7" fillId="2" borderId="21" xfId="0" applyFont="1" applyFill="1" applyBorder="1"/>
    <xf numFmtId="0" fontId="6" fillId="2" borderId="24" xfId="0" applyFont="1" applyFill="1" applyBorder="1" applyAlignment="1">
      <alignment horizontal="left" indent="1"/>
    </xf>
    <xf numFmtId="0" fontId="6" fillId="2" borderId="24" xfId="0" applyFont="1" applyFill="1" applyBorder="1"/>
    <xf numFmtId="0" fontId="7" fillId="2" borderId="24" xfId="0" applyFont="1" applyFill="1" applyBorder="1"/>
    <xf numFmtId="0" fontId="6" fillId="2" borderId="28" xfId="0" applyFont="1" applyFill="1" applyBorder="1" applyAlignment="1">
      <alignment horizontal="left" indent="1"/>
    </xf>
    <xf numFmtId="10" fontId="7" fillId="2" borderId="10" xfId="2" applyNumberFormat="1" applyFont="1" applyFill="1" applyBorder="1"/>
    <xf numFmtId="10" fontId="7" fillId="2" borderId="11" xfId="2" applyNumberFormat="1" applyFont="1" applyFill="1" applyBorder="1"/>
    <xf numFmtId="10" fontId="7" fillId="2" borderId="12" xfId="2" applyNumberFormat="1" applyFont="1" applyFill="1" applyBorder="1"/>
    <xf numFmtId="10" fontId="5" fillId="3" borderId="0" xfId="2" applyNumberFormat="1" applyFont="1" applyFill="1" applyBorder="1"/>
    <xf numFmtId="10" fontId="6" fillId="2" borderId="25" xfId="0" applyNumberFormat="1" applyFont="1" applyFill="1" applyBorder="1"/>
    <xf numFmtId="10" fontId="5" fillId="3" borderId="18" xfId="2" applyNumberFormat="1" applyFont="1" applyFill="1" applyBorder="1"/>
    <xf numFmtId="0" fontId="6" fillId="6" borderId="22" xfId="0" applyFont="1" applyFill="1" applyBorder="1"/>
    <xf numFmtId="0" fontId="6" fillId="6" borderId="18" xfId="0" applyFont="1" applyFill="1" applyBorder="1"/>
    <xf numFmtId="10" fontId="1" fillId="2" borderId="0" xfId="2" applyNumberFormat="1" applyFont="1" applyFill="1" applyBorder="1"/>
    <xf numFmtId="10" fontId="1" fillId="2" borderId="25" xfId="2" applyNumberFormat="1" applyFont="1" applyFill="1" applyBorder="1"/>
    <xf numFmtId="0" fontId="12" fillId="9" borderId="0" xfId="0" applyFont="1" applyFill="1"/>
    <xf numFmtId="9" fontId="0" fillId="2" borderId="0" xfId="0" applyNumberFormat="1" applyFill="1"/>
    <xf numFmtId="0" fontId="0" fillId="2" borderId="0" xfId="0" applyFill="1" applyAlignment="1">
      <alignment horizontal="left" indent="2"/>
    </xf>
    <xf numFmtId="0" fontId="3" fillId="2" borderId="0" xfId="0" applyFont="1" applyFill="1" applyAlignment="1">
      <alignment horizontal="left" vertical="center"/>
    </xf>
    <xf numFmtId="10" fontId="0" fillId="2" borderId="0" xfId="0" applyNumberFormat="1" applyFill="1"/>
    <xf numFmtId="10" fontId="5" fillId="3" borderId="0" xfId="0" applyNumberFormat="1" applyFont="1" applyFill="1"/>
    <xf numFmtId="176" fontId="4" fillId="2" borderId="0" xfId="1" applyNumberFormat="1" applyFont="1" applyFill="1"/>
    <xf numFmtId="176" fontId="0" fillId="2" borderId="0" xfId="1" applyNumberFormat="1" applyFont="1" applyFill="1"/>
    <xf numFmtId="9" fontId="6" fillId="6" borderId="0" xfId="0" applyNumberFormat="1" applyFont="1" applyFill="1"/>
    <xf numFmtId="10" fontId="6" fillId="2" borderId="0" xfId="0" applyNumberFormat="1" applyFont="1" applyFill="1"/>
    <xf numFmtId="0" fontId="0" fillId="2" borderId="0" xfId="0" applyFill="1" applyAlignment="1">
      <alignment vertical="center"/>
    </xf>
    <xf numFmtId="43" fontId="5" fillId="2" borderId="0" xfId="0" applyNumberFormat="1" applyFont="1" applyFill="1"/>
    <xf numFmtId="43" fontId="0" fillId="2" borderId="0" xfId="0" applyNumberFormat="1" applyFill="1" applyAlignment="1">
      <alignment vertical="center"/>
    </xf>
    <xf numFmtId="43" fontId="0" fillId="2" borderId="0" xfId="1" applyFont="1" applyFill="1" applyAlignment="1">
      <alignment vertical="center"/>
    </xf>
    <xf numFmtId="43" fontId="0" fillId="2" borderId="25" xfId="0" applyNumberFormat="1" applyFill="1" applyBorder="1"/>
    <xf numFmtId="43" fontId="0" fillId="2" borderId="29" xfId="0" applyNumberFormat="1" applyFill="1" applyBorder="1"/>
    <xf numFmtId="0" fontId="3" fillId="14" borderId="30" xfId="0" applyFont="1" applyFill="1" applyBorder="1"/>
    <xf numFmtId="174" fontId="3" fillId="6" borderId="6" xfId="0" applyNumberFormat="1" applyFont="1" applyFill="1" applyBorder="1"/>
    <xf numFmtId="10" fontId="5" fillId="3" borderId="17" xfId="0" applyNumberFormat="1" applyFont="1" applyFill="1" applyBorder="1"/>
    <xf numFmtId="164" fontId="5" fillId="3" borderId="0" xfId="3" applyFont="1" applyFill="1"/>
    <xf numFmtId="0" fontId="5" fillId="3" borderId="11" xfId="0" applyFont="1" applyFill="1" applyBorder="1"/>
    <xf numFmtId="170" fontId="5" fillId="3" borderId="11" xfId="3" applyNumberFormat="1" applyFont="1" applyFill="1" applyBorder="1"/>
    <xf numFmtId="10" fontId="5" fillId="3" borderId="11" xfId="0" applyNumberFormat="1" applyFont="1" applyFill="1" applyBorder="1"/>
    <xf numFmtId="164" fontId="5" fillId="3" borderId="11" xfId="3" applyFont="1" applyFill="1" applyBorder="1"/>
    <xf numFmtId="14" fontId="0" fillId="2" borderId="0" xfId="0" applyNumberFormat="1" applyFill="1"/>
    <xf numFmtId="166" fontId="1" fillId="2" borderId="0" xfId="1" applyNumberFormat="1" applyFont="1" applyFill="1"/>
    <xf numFmtId="164" fontId="4" fillId="2" borderId="0" xfId="3" applyFont="1" applyFill="1"/>
    <xf numFmtId="174" fontId="0" fillId="2" borderId="0" xfId="1" applyNumberFormat="1" applyFont="1" applyFill="1"/>
    <xf numFmtId="0" fontId="17" fillId="2" borderId="0" xfId="0" applyFont="1" applyFill="1"/>
    <xf numFmtId="166" fontId="18" fillId="2" borderId="0" xfId="1" applyNumberFormat="1" applyFont="1" applyFill="1" applyBorder="1"/>
    <xf numFmtId="166" fontId="17" fillId="2" borderId="0" xfId="1" applyNumberFormat="1" applyFont="1" applyFill="1" applyBorder="1"/>
    <xf numFmtId="10" fontId="0" fillId="0" borderId="0" xfId="2" applyNumberFormat="1" applyFont="1"/>
    <xf numFmtId="10" fontId="0" fillId="2" borderId="0" xfId="2" applyNumberFormat="1" applyFont="1" applyFill="1" applyBorder="1"/>
    <xf numFmtId="167" fontId="7" fillId="2" borderId="1" xfId="2" applyNumberFormat="1" applyFont="1" applyFill="1" applyBorder="1"/>
    <xf numFmtId="10" fontId="5" fillId="0" borderId="0" xfId="2" applyNumberFormat="1" applyFont="1" applyFill="1"/>
    <xf numFmtId="176" fontId="5" fillId="3" borderId="0" xfId="1" applyNumberFormat="1" applyFont="1" applyFill="1"/>
    <xf numFmtId="166" fontId="19" fillId="2" borderId="0" xfId="1" applyNumberFormat="1" applyFont="1" applyFill="1"/>
    <xf numFmtId="166" fontId="1" fillId="0" borderId="0" xfId="1" applyNumberFormat="1" applyFont="1" applyFill="1"/>
    <xf numFmtId="166" fontId="0" fillId="2" borderId="0" xfId="0" applyNumberFormat="1" applyFill="1"/>
    <xf numFmtId="2" fontId="5" fillId="3" borderId="0" xfId="3" applyNumberFormat="1" applyFont="1" applyFill="1"/>
    <xf numFmtId="2" fontId="0" fillId="2" borderId="0" xfId="3" applyNumberFormat="1" applyFont="1" applyFill="1"/>
    <xf numFmtId="166" fontId="19" fillId="3" borderId="0" xfId="1" applyNumberFormat="1" applyFont="1" applyFill="1"/>
    <xf numFmtId="9" fontId="19" fillId="3" borderId="0" xfId="2" applyFont="1" applyFill="1"/>
    <xf numFmtId="0" fontId="19" fillId="2" borderId="0" xfId="0" applyFont="1" applyFill="1"/>
    <xf numFmtId="10" fontId="1" fillId="2" borderId="0" xfId="2" applyNumberFormat="1" applyFont="1" applyFill="1"/>
    <xf numFmtId="174" fontId="0" fillId="2" borderId="0" xfId="0" applyNumberFormat="1" applyFill="1"/>
    <xf numFmtId="174" fontId="3" fillId="2" borderId="0" xfId="0" applyNumberFormat="1" applyFont="1" applyFill="1"/>
    <xf numFmtId="173" fontId="3" fillId="2" borderId="0" xfId="0" applyNumberFormat="1" applyFont="1" applyFill="1"/>
    <xf numFmtId="170" fontId="3" fillId="2" borderId="0" xfId="3" applyNumberFormat="1" applyFont="1" applyFill="1" applyBorder="1"/>
    <xf numFmtId="43" fontId="0" fillId="2" borderId="0" xfId="1" applyFont="1" applyFill="1" applyBorder="1"/>
    <xf numFmtId="169" fontId="0" fillId="2" borderId="14" xfId="0" applyNumberFormat="1" applyFill="1" applyBorder="1"/>
    <xf numFmtId="0" fontId="19" fillId="3" borderId="0" xfId="0" applyFont="1" applyFill="1"/>
    <xf numFmtId="43" fontId="19" fillId="3" borderId="0" xfId="1" applyFont="1" applyFill="1"/>
    <xf numFmtId="0" fontId="19" fillId="3" borderId="0" xfId="0" applyFont="1" applyFill="1" applyAlignment="1">
      <alignment vertical="center"/>
    </xf>
    <xf numFmtId="9" fontId="5" fillId="2" borderId="0" xfId="2" applyFont="1" applyFill="1"/>
    <xf numFmtId="2" fontId="0" fillId="2" borderId="0" xfId="0" applyNumberFormat="1" applyFill="1" applyAlignment="1">
      <alignment vertical="center"/>
    </xf>
    <xf numFmtId="2" fontId="19" fillId="3" borderId="0" xfId="2" applyNumberFormat="1" applyFont="1" applyFill="1"/>
    <xf numFmtId="2" fontId="19" fillId="3" borderId="0" xfId="0" applyNumberFormat="1" applyFont="1" applyFill="1" applyAlignment="1">
      <alignment vertical="center"/>
    </xf>
    <xf numFmtId="2" fontId="19" fillId="3" borderId="0" xfId="0" applyNumberFormat="1" applyFont="1" applyFill="1"/>
    <xf numFmtId="170" fontId="0" fillId="2" borderId="22" xfId="0" applyNumberForma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23" xfId="0" applyFont="1" applyFill="1" applyBorder="1"/>
    <xf numFmtId="9" fontId="0" fillId="0" borderId="21" xfId="0" applyNumberFormat="1" applyBorder="1"/>
    <xf numFmtId="43" fontId="19" fillId="2" borderId="0" xfId="1" applyFont="1" applyFill="1"/>
    <xf numFmtId="0" fontId="19" fillId="2" borderId="0" xfId="0" applyFont="1" applyFill="1" applyAlignment="1">
      <alignment vertical="center"/>
    </xf>
    <xf numFmtId="9" fontId="19" fillId="3" borderId="0" xfId="0" applyNumberFormat="1" applyFont="1" applyFill="1"/>
    <xf numFmtId="1" fontId="5" fillId="3" borderId="0" xfId="1" applyNumberFormat="1" applyFont="1" applyFill="1"/>
    <xf numFmtId="1" fontId="0" fillId="2" borderId="0" xfId="2" applyNumberFormat="1" applyFont="1" applyFill="1"/>
    <xf numFmtId="1" fontId="1" fillId="2" borderId="0" xfId="1" applyNumberFormat="1" applyFont="1" applyFill="1"/>
    <xf numFmtId="167" fontId="1" fillId="2" borderId="0" xfId="2" applyNumberFormat="1" applyFont="1" applyFill="1"/>
    <xf numFmtId="9" fontId="19" fillId="3" borderId="0" xfId="2" applyFont="1" applyFill="1" applyAlignment="1">
      <alignment vertical="center"/>
    </xf>
    <xf numFmtId="9" fontId="19" fillId="2" borderId="0" xfId="0" applyNumberFormat="1" applyFont="1" applyFill="1"/>
    <xf numFmtId="2" fontId="19" fillId="2" borderId="0" xfId="2" applyNumberFormat="1" applyFont="1" applyFill="1"/>
    <xf numFmtId="2" fontId="19" fillId="2" borderId="0" xfId="0" applyNumberFormat="1" applyFont="1" applyFill="1" applyAlignment="1">
      <alignment vertical="center"/>
    </xf>
    <xf numFmtId="2" fontId="19" fillId="2" borderId="0" xfId="0" applyNumberFormat="1" applyFont="1" applyFill="1"/>
    <xf numFmtId="167" fontId="0" fillId="2" borderId="0" xfId="0" applyNumberFormat="1" applyFill="1"/>
    <xf numFmtId="10" fontId="19" fillId="3" borderId="0" xfId="2" applyNumberFormat="1" applyFont="1" applyFill="1" applyBorder="1"/>
    <xf numFmtId="167" fontId="19" fillId="3" borderId="0" xfId="2" applyNumberFormat="1" applyFont="1" applyFill="1"/>
    <xf numFmtId="167" fontId="5" fillId="2" borderId="0" xfId="0" applyNumberFormat="1" applyFont="1" applyFill="1"/>
    <xf numFmtId="0" fontId="6" fillId="2" borderId="25" xfId="0" applyFont="1" applyFill="1" applyBorder="1"/>
    <xf numFmtId="10" fontId="19" fillId="3" borderId="25" xfId="2" applyNumberFormat="1" applyFont="1" applyFill="1" applyBorder="1"/>
    <xf numFmtId="10" fontId="5" fillId="3" borderId="25" xfId="2" applyNumberFormat="1" applyFont="1" applyFill="1" applyBorder="1"/>
    <xf numFmtId="10" fontId="5" fillId="3" borderId="29" xfId="2" applyNumberFormat="1" applyFont="1" applyFill="1" applyBorder="1"/>
    <xf numFmtId="164" fontId="5" fillId="2" borderId="0" xfId="3" applyFont="1" applyFill="1" applyBorder="1"/>
    <xf numFmtId="170" fontId="5" fillId="2" borderId="0" xfId="3" applyNumberFormat="1" applyFont="1" applyFill="1" applyBorder="1"/>
    <xf numFmtId="2" fontId="1" fillId="2" borderId="0" xfId="3" applyNumberFormat="1" applyFont="1" applyFill="1" applyBorder="1"/>
    <xf numFmtId="0" fontId="3" fillId="0" borderId="0" xfId="0" applyFont="1"/>
    <xf numFmtId="10" fontId="0" fillId="0" borderId="0" xfId="0" applyNumberFormat="1"/>
    <xf numFmtId="9" fontId="0" fillId="0" borderId="0" xfId="0" applyNumberFormat="1"/>
    <xf numFmtId="164" fontId="0" fillId="2" borderId="0" xfId="3" applyFont="1" applyFill="1"/>
    <xf numFmtId="164" fontId="6" fillId="2" borderId="0" xfId="3" applyFont="1" applyFill="1"/>
    <xf numFmtId="0" fontId="0" fillId="2" borderId="24" xfId="0" applyFill="1" applyBorder="1" applyAlignment="1">
      <alignment horizontal="left" indent="1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2" borderId="23" xfId="0" applyFont="1" applyFill="1" applyBorder="1" applyAlignment="1">
      <alignment horizontal="right"/>
    </xf>
    <xf numFmtId="43" fontId="3" fillId="2" borderId="27" xfId="0" applyNumberFormat="1" applyFont="1" applyFill="1" applyBorder="1"/>
    <xf numFmtId="43" fontId="3" fillId="2" borderId="21" xfId="1" applyFont="1" applyFill="1" applyBorder="1" applyAlignment="1">
      <alignment vertical="center"/>
    </xf>
    <xf numFmtId="43" fontId="0" fillId="2" borderId="22" xfId="0" applyNumberFormat="1" applyFill="1" applyBorder="1"/>
    <xf numFmtId="0" fontId="0" fillId="2" borderId="23" xfId="0" applyFill="1" applyBorder="1"/>
    <xf numFmtId="9" fontId="0" fillId="2" borderId="24" xfId="2" quotePrefix="1" applyFont="1" applyFill="1" applyBorder="1" applyAlignment="1">
      <alignment horizontal="left" indent="1"/>
    </xf>
    <xf numFmtId="9" fontId="0" fillId="2" borderId="28" xfId="2" quotePrefix="1" applyFont="1" applyFill="1" applyBorder="1" applyAlignment="1">
      <alignment horizontal="left" indent="1"/>
    </xf>
    <xf numFmtId="167" fontId="19" fillId="3" borderId="0" xfId="2" applyNumberFormat="1" applyFont="1" applyFill="1" applyAlignment="1">
      <alignment vertical="center"/>
    </xf>
    <xf numFmtId="0" fontId="2" fillId="5" borderId="0" xfId="0" applyFont="1" applyFill="1" applyAlignment="1">
      <alignment horizontal="right"/>
    </xf>
    <xf numFmtId="8" fontId="0" fillId="0" borderId="0" xfId="0" applyNumberFormat="1"/>
  </cellXfs>
  <cellStyles count="5">
    <cellStyle name="Comma" xfId="1" builtinId="3"/>
    <cellStyle name="Currency" xfId="3" builtinId="4"/>
    <cellStyle name="fa_column_header_bottom" xfId="4" xr:uid="{9013D464-8F20-4295-A7B4-855F7EC6AC70}"/>
    <cellStyle name="Normal" xfId="0" builtinId="0"/>
    <cellStyle name="Per cent" xfId="2" builtinId="5"/>
  </cellStyles>
  <dxfs count="8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Segment</a:t>
            </a:r>
            <a:r>
              <a:rPr lang="en-GB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Charts!$A$4:$A$8</c:f>
              <c:strCache>
                <c:ptCount val="5"/>
                <c:pt idx="0">
                  <c:v>B&amp;I</c:v>
                </c:pt>
                <c:pt idx="1">
                  <c:v>M&amp;D</c:v>
                </c:pt>
                <c:pt idx="2">
                  <c:v>Aviation</c:v>
                </c:pt>
                <c:pt idx="3">
                  <c:v>Education</c:v>
                </c:pt>
                <c:pt idx="4">
                  <c:v>ATS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DCD54AB-F540-AD47-A5C0-08ECE219963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485-8944-88E5-2C362C3BFD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F4D40B3-6FDD-554A-99EB-2BA09ACC412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85-8944-88E5-2C362C3BFD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5C4D5A-8F0E-B842-8A73-ED104F98460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85-8944-88E5-2C362C3BFD00}"/>
                </c:ext>
              </c:extLst>
            </c:dLbl>
            <c:dLbl>
              <c:idx val="3"/>
              <c:layout>
                <c:manualLayout>
                  <c:x val="-0.19722222222222227"/>
                  <c:y val="-8.4875562720133283E-17"/>
                </c:manualLayout>
              </c:layout>
              <c:tx>
                <c:rich>
                  <a:bodyPr/>
                  <a:lstStyle/>
                  <a:p>
                    <a:fld id="{593E880E-A407-524C-890C-4D5F2A2F8E7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485-8944-88E5-2C362C3BFD0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C12210-0A26-0944-BE8D-1BA20E9B5C3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485-8944-88E5-2C362C3BFD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Charts!$D$4:$D$8</c:f>
              <c:numCache>
                <c:formatCode>0.00%</c:formatCode>
                <c:ptCount val="5"/>
                <c:pt idx="0">
                  <c:v>7.6999999999999999E-2</c:v>
                </c:pt>
                <c:pt idx="1">
                  <c:v>9.4E-2</c:v>
                </c:pt>
                <c:pt idx="2">
                  <c:v>5.8000000000000003E-2</c:v>
                </c:pt>
                <c:pt idx="3">
                  <c:v>7.2999999999999995E-2</c:v>
                </c:pt>
                <c:pt idx="4" formatCode="0%">
                  <c:v>0.09</c:v>
                </c:pt>
              </c:numCache>
            </c:numRef>
          </c:xVal>
          <c:yVal>
            <c:numRef>
              <c:f>Charts!$C$4:$C$8</c:f>
              <c:numCache>
                <c:formatCode>0.00%</c:formatCode>
                <c:ptCount val="5"/>
                <c:pt idx="0">
                  <c:v>1.6E-2</c:v>
                </c:pt>
                <c:pt idx="1">
                  <c:v>4.1000000000000002E-2</c:v>
                </c:pt>
                <c:pt idx="2">
                  <c:v>8.3000000000000004E-2</c:v>
                </c:pt>
                <c:pt idx="3" formatCode="0%">
                  <c:v>0.02</c:v>
                </c:pt>
                <c:pt idx="4">
                  <c:v>0.187</c:v>
                </c:pt>
              </c:numCache>
            </c:numRef>
          </c:yVal>
          <c:bubbleSize>
            <c:numRef>
              <c:f>Charts!$B$4:$B$8</c:f>
              <c:numCache>
                <c:formatCode>General</c:formatCode>
                <c:ptCount val="5"/>
                <c:pt idx="0">
                  <c:v>4126</c:v>
                </c:pt>
                <c:pt idx="1">
                  <c:v>1619</c:v>
                </c:pt>
                <c:pt idx="2">
                  <c:v>1119</c:v>
                </c:pt>
                <c:pt idx="3">
                  <c:v>922</c:v>
                </c:pt>
                <c:pt idx="4">
                  <c:v>961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Charts!$A$4:$A$8</c15:f>
                <c15:dlblRangeCache>
                  <c:ptCount val="5"/>
                  <c:pt idx="0">
                    <c:v>B&amp;I</c:v>
                  </c:pt>
                  <c:pt idx="1">
                    <c:v>M&amp;D</c:v>
                  </c:pt>
                  <c:pt idx="2">
                    <c:v>Aviation</c:v>
                  </c:pt>
                  <c:pt idx="3">
                    <c:v>Education</c:v>
                  </c:pt>
                  <c:pt idx="4">
                    <c:v>ATS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485-8944-88E5-2C362C3BFD00}"/>
            </c:ext>
          </c:extLst>
        </c:ser>
        <c:ser>
          <c:idx val="1"/>
          <c:order val="1"/>
          <c:tx>
            <c:strRef>
              <c:f>Charts!$D$3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Charts!$A$4:$A$8</c:f>
              <c:strCache>
                <c:ptCount val="5"/>
                <c:pt idx="0">
                  <c:v>B&amp;I</c:v>
                </c:pt>
                <c:pt idx="1">
                  <c:v>M&amp;D</c:v>
                </c:pt>
                <c:pt idx="2">
                  <c:v>Aviation</c:v>
                </c:pt>
                <c:pt idx="3">
                  <c:v>Education</c:v>
                </c:pt>
                <c:pt idx="4">
                  <c:v>ATS</c:v>
                </c:pt>
              </c:strCache>
            </c:strRef>
          </c:xVal>
          <c:yVal>
            <c:numRef>
              <c:f>Charts!$D$4:$D$8</c:f>
              <c:numCache>
                <c:formatCode>0.00%</c:formatCode>
                <c:ptCount val="5"/>
                <c:pt idx="0">
                  <c:v>7.6999999999999999E-2</c:v>
                </c:pt>
                <c:pt idx="1">
                  <c:v>9.4E-2</c:v>
                </c:pt>
                <c:pt idx="2">
                  <c:v>5.8000000000000003E-2</c:v>
                </c:pt>
                <c:pt idx="3">
                  <c:v>7.2999999999999995E-2</c:v>
                </c:pt>
                <c:pt idx="4" formatCode="0%">
                  <c:v>0.09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C485-8944-88E5-2C362C3BF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81374720"/>
        <c:axId val="1072983872"/>
      </c:bubbleChart>
      <c:valAx>
        <c:axId val="1081374720"/>
        <c:scaling>
          <c:orientation val="minMax"/>
          <c:max val="0.1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Operating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983872"/>
        <c:crosses val="autoZero"/>
        <c:crossBetween val="midCat"/>
      </c:valAx>
      <c:valAx>
        <c:axId val="1072983872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YoY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74720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181429</xdr:colOff>
      <xdr:row>54</xdr:row>
      <xdr:rowOff>181430</xdr:rowOff>
    </xdr:from>
    <xdr:to>
      <xdr:col>1</xdr:col>
      <xdr:colOff>530330</xdr:colOff>
      <xdr:row>58</xdr:row>
      <xdr:rowOff>27913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E66951E-887B-EC32-51D2-15433A858047}"/>
            </a:ext>
          </a:extLst>
        </xdr:cNvPr>
        <xdr:cNvSpPr/>
      </xdr:nvSpPr>
      <xdr:spPr>
        <a:xfrm>
          <a:off x="181429" y="10690331"/>
          <a:ext cx="1060659" cy="64197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/>
            <a:t>Thesis 1 / Catalyst 2+3</a:t>
          </a:r>
        </a:p>
      </xdr:txBody>
    </xdr:sp>
    <xdr:clientData/>
  </xdr:twoCellAnchor>
  <xdr:twoCellAnchor>
    <xdr:from>
      <xdr:col>0</xdr:col>
      <xdr:colOff>222040</xdr:colOff>
      <xdr:row>59</xdr:row>
      <xdr:rowOff>88900</xdr:rowOff>
    </xdr:from>
    <xdr:to>
      <xdr:col>1</xdr:col>
      <xdr:colOff>570941</xdr:colOff>
      <xdr:row>62</xdr:row>
      <xdr:rowOff>132024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F138D83-83AF-A64B-95D7-BC99517371BE}"/>
            </a:ext>
          </a:extLst>
        </xdr:cNvPr>
        <xdr:cNvSpPr/>
      </xdr:nvSpPr>
      <xdr:spPr>
        <a:xfrm>
          <a:off x="222040" y="11315700"/>
          <a:ext cx="1060101" cy="627324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Thesis 2</a:t>
          </a:r>
        </a:p>
      </xdr:txBody>
    </xdr:sp>
    <xdr:clientData/>
  </xdr:twoCellAnchor>
  <xdr:twoCellAnchor>
    <xdr:from>
      <xdr:col>0</xdr:col>
      <xdr:colOff>220923</xdr:colOff>
      <xdr:row>63</xdr:row>
      <xdr:rowOff>199431</xdr:rowOff>
    </xdr:from>
    <xdr:to>
      <xdr:col>1</xdr:col>
      <xdr:colOff>569824</xdr:colOff>
      <xdr:row>67</xdr:row>
      <xdr:rowOff>38100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FD3FEB10-1E7C-BA4B-9BD5-BA0AB7A1EB44}"/>
            </a:ext>
          </a:extLst>
        </xdr:cNvPr>
        <xdr:cNvSpPr/>
      </xdr:nvSpPr>
      <xdr:spPr>
        <a:xfrm>
          <a:off x="220923" y="12200931"/>
          <a:ext cx="1060101" cy="626069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Thesis 2</a:t>
          </a:r>
        </a:p>
      </xdr:txBody>
    </xdr:sp>
    <xdr:clientData/>
  </xdr:twoCellAnchor>
  <xdr:twoCellAnchor>
    <xdr:from>
      <xdr:col>0</xdr:col>
      <xdr:colOff>219806</xdr:colOff>
      <xdr:row>68</xdr:row>
      <xdr:rowOff>184359</xdr:rowOff>
    </xdr:from>
    <xdr:to>
      <xdr:col>1</xdr:col>
      <xdr:colOff>568707</xdr:colOff>
      <xdr:row>72</xdr:row>
      <xdr:rowOff>10327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CD94DF91-31FD-1D48-861D-E3379E1A55D1}"/>
            </a:ext>
          </a:extLst>
        </xdr:cNvPr>
        <xdr:cNvSpPr/>
      </xdr:nvSpPr>
      <xdr:spPr>
        <a:xfrm>
          <a:off x="219806" y="13163759"/>
          <a:ext cx="1060101" cy="613368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Thesis 3</a:t>
          </a:r>
          <a:r>
            <a:rPr lang="en-GB" sz="1400" baseline="0"/>
            <a:t> / Catalyst 1</a:t>
          </a:r>
          <a:endParaRPr lang="en-GB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13</xdr:row>
      <xdr:rowOff>82550</xdr:rowOff>
    </xdr:from>
    <xdr:to>
      <xdr:col>13</xdr:col>
      <xdr:colOff>552450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D3A13-F862-4E72-99DC-C4729DB8A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eshpoddar/Desktop/Year%202/REI/Excel%20models/Comps.xlsx" TargetMode="External"/><Relationship Id="rId1" Type="http://schemas.openxmlformats.org/officeDocument/2006/relationships/externalLinkPath" Target="Com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"/>
      <sheetName val="CORE MODEL&gt;&gt;&gt;"/>
      <sheetName val="Summary"/>
      <sheetName val="Input"/>
      <sheetName val="Model"/>
      <sheetName val="Segments"/>
      <sheetName val="DCF"/>
      <sheetName val="Comps"/>
      <sheetName val="ASSUMPTIONS &gt;&gt;&gt;"/>
      <sheetName val="Assumption - HPC"/>
      <sheetName val="Assumption - Niche"/>
      <sheetName val="Assumption - Consumers"/>
      <sheetName val="ADDL INFO &gt;&gt;&gt;"/>
      <sheetName val="IP - GUC"/>
    </sheetNames>
    <sheetDataSet>
      <sheetData sheetId="0" refreshError="1"/>
      <sheetData sheetId="1" refreshError="1"/>
      <sheetData sheetId="2">
        <row r="2">
          <cell r="B2" t="str">
            <v>ABM</v>
          </cell>
        </row>
        <row r="3">
          <cell r="B3" t="str">
            <v>USD</v>
          </cell>
        </row>
      </sheetData>
      <sheetData sheetId="3">
        <row r="1">
          <cell r="B1" t="str">
            <v>ABM Industries Inc</v>
          </cell>
        </row>
        <row r="5">
          <cell r="A5" t="str">
            <v>Last Edit:</v>
          </cell>
          <cell r="B5">
            <v>46152</v>
          </cell>
        </row>
      </sheetData>
      <sheetData sheetId="4">
        <row r="41">
          <cell r="I41">
            <v>2.53648612029522</v>
          </cell>
        </row>
        <row r="43">
          <cell r="H43">
            <v>1.5970910393905819</v>
          </cell>
        </row>
      </sheetData>
      <sheetData sheetId="5" refreshError="1"/>
      <sheetData sheetId="6">
        <row r="50">
          <cell r="H50">
            <v>60.7</v>
          </cell>
        </row>
        <row r="57">
          <cell r="B57" t="str">
            <v>Less: Debt</v>
          </cell>
        </row>
        <row r="59">
          <cell r="B59" t="str">
            <v>Plus: Cash</v>
          </cell>
        </row>
        <row r="67">
          <cell r="C67">
            <v>1693.4</v>
          </cell>
        </row>
        <row r="69">
          <cell r="C69">
            <v>104.1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38A9-2431-4903-96A3-E7337CB328D9}">
  <dimension ref="B2:J7"/>
  <sheetViews>
    <sheetView zoomScale="150" zoomScaleNormal="150" workbookViewId="0">
      <selection activeCell="B6" sqref="B6"/>
    </sheetView>
  </sheetViews>
  <sheetFormatPr baseColWidth="10" defaultColWidth="9.33203125" defaultRowHeight="15" x14ac:dyDescent="0.2"/>
  <cols>
    <col min="1" max="16384" width="9.33203125" style="1"/>
  </cols>
  <sheetData>
    <row r="2" spans="2:10" x14ac:dyDescent="0.2">
      <c r="B2" s="7" t="s">
        <v>0</v>
      </c>
    </row>
    <row r="3" spans="2:10" x14ac:dyDescent="0.2">
      <c r="B3" s="3" t="s">
        <v>1</v>
      </c>
    </row>
    <row r="4" spans="2:10" x14ac:dyDescent="0.2">
      <c r="B4" s="2" t="s">
        <v>2</v>
      </c>
    </row>
    <row r="5" spans="2:10" x14ac:dyDescent="0.2">
      <c r="B5" s="4" t="s">
        <v>3</v>
      </c>
    </row>
    <row r="6" spans="2:10" x14ac:dyDescent="0.2">
      <c r="B6" s="5" t="s">
        <v>4</v>
      </c>
      <c r="C6" s="6"/>
      <c r="D6" s="6"/>
      <c r="E6" s="6"/>
      <c r="F6" s="6"/>
    </row>
    <row r="7" spans="2:10" x14ac:dyDescent="0.2">
      <c r="B7" s="190" t="s">
        <v>5</v>
      </c>
      <c r="C7" s="53"/>
      <c r="D7" s="53"/>
      <c r="E7" s="53"/>
      <c r="F7" s="53"/>
      <c r="G7" s="53"/>
      <c r="H7" s="53"/>
      <c r="I7" s="53"/>
      <c r="J7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C2FB-E6D3-494B-908F-73863F3C75D7}">
  <sheetPr>
    <tabColor rgb="FFFF0000"/>
  </sheetPr>
  <dimension ref="A1"/>
  <sheetViews>
    <sheetView workbookViewId="0">
      <selection activeCell="I34" sqref="I34"/>
    </sheetView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A4" zoomScale="94" zoomScaleNormal="94" workbookViewId="0">
      <selection activeCell="S42" sqref="S42"/>
    </sheetView>
  </sheetViews>
  <sheetFormatPr baseColWidth="10" defaultColWidth="9.33203125" defaultRowHeight="15" x14ac:dyDescent="0.2"/>
  <cols>
    <col min="1" max="1" width="12" style="1" bestFit="1" customWidth="1"/>
    <col min="2" max="2" width="30.5" style="1" customWidth="1"/>
    <col min="3" max="3" width="9.33203125" style="1"/>
    <col min="4" max="4" width="11" style="1" bestFit="1" customWidth="1"/>
    <col min="5" max="5" width="3.1640625" style="1" customWidth="1"/>
    <col min="6" max="6" width="9.33203125" style="1"/>
    <col min="7" max="7" width="3" style="1" customWidth="1"/>
    <col min="8" max="8" width="13.5" style="1" bestFit="1" customWidth="1"/>
    <col min="9" max="10" width="10" style="1" bestFit="1" customWidth="1"/>
    <col min="11" max="11" width="10.33203125" style="1" bestFit="1" customWidth="1"/>
    <col min="12" max="12" width="11.1640625" style="1" bestFit="1" customWidth="1"/>
    <col min="13" max="18" width="11" style="1" bestFit="1" customWidth="1"/>
    <col min="19" max="21" width="11.33203125" style="1" bestFit="1" customWidth="1"/>
    <col min="22" max="22" width="12" style="1" bestFit="1" customWidth="1"/>
    <col min="23" max="16384" width="9.33203125" style="1"/>
  </cols>
  <sheetData>
    <row r="1" spans="1:17" x14ac:dyDescent="0.2">
      <c r="A1" s="1" t="str">
        <f>Input!A1</f>
        <v>Name</v>
      </c>
      <c r="B1" s="44" t="str">
        <f>Input!B1</f>
        <v>ABM Industries Inc</v>
      </c>
    </row>
    <row r="2" spans="1:17" x14ac:dyDescent="0.2">
      <c r="A2" s="1" t="str">
        <f>Input!A2</f>
        <v>Ticker</v>
      </c>
      <c r="B2" s="44" t="str">
        <f>Input!B2</f>
        <v>ABM</v>
      </c>
    </row>
    <row r="3" spans="1:17" x14ac:dyDescent="0.2">
      <c r="A3" s="1" t="str">
        <f>Input!A3</f>
        <v>Currency</v>
      </c>
      <c r="B3" s="44" t="str">
        <f>Input!B3</f>
        <v>USD</v>
      </c>
    </row>
    <row r="4" spans="1:17" x14ac:dyDescent="0.2">
      <c r="A4" s="1" t="str">
        <f>Input!A4</f>
        <v>Last Full FY</v>
      </c>
      <c r="B4" s="44">
        <f>Input!B4</f>
        <v>2025</v>
      </c>
    </row>
    <row r="5" spans="1:17" x14ac:dyDescent="0.2">
      <c r="A5" s="1" t="str">
        <f>Input!A5</f>
        <v>Last Edit:</v>
      </c>
      <c r="B5" s="202">
        <f ca="1">Input!B5</f>
        <v>46156</v>
      </c>
    </row>
    <row r="6" spans="1:17" ht="16" thickBot="1" x14ac:dyDescent="0.25">
      <c r="B6" s="44"/>
    </row>
    <row r="7" spans="1:17" ht="16" thickBot="1" x14ac:dyDescent="0.25">
      <c r="B7" s="116"/>
      <c r="C7" s="117"/>
      <c r="D7" s="117" t="s">
        <v>6</v>
      </c>
      <c r="E7" s="117"/>
      <c r="F7" s="188" t="s">
        <v>7</v>
      </c>
      <c r="G7" s="117"/>
      <c r="H7" s="118" t="str">
        <f>B3</f>
        <v>USD</v>
      </c>
      <c r="J7" s="134" t="str">
        <f>"Blended TP ("&amp;B3&amp;")"</f>
        <v>Blended TP (USD)</v>
      </c>
      <c r="K7" s="135"/>
      <c r="L7" s="136">
        <f>H16*F16+H18*F18+H20*F20</f>
        <v>69.946744225638952</v>
      </c>
      <c r="P7" s="219"/>
    </row>
    <row r="8" spans="1:17" x14ac:dyDescent="0.2">
      <c r="B8" s="119" t="str">
        <f>B2</f>
        <v>ABM</v>
      </c>
      <c r="D8" s="197">
        <f>H8/F8</f>
        <v>40.200000000000003</v>
      </c>
      <c r="E8" s="175"/>
      <c r="F8" s="189">
        <v>1</v>
      </c>
      <c r="G8" s="176"/>
      <c r="H8" s="198">
        <v>40.200000000000003</v>
      </c>
      <c r="J8" s="126" t="s">
        <v>8</v>
      </c>
      <c r="K8" s="127"/>
      <c r="L8" s="129">
        <f>L7/H8-1</f>
        <v>0.7399687618318147</v>
      </c>
      <c r="Q8" s="24"/>
    </row>
    <row r="9" spans="1:17" ht="16" thickBot="1" x14ac:dyDescent="0.25">
      <c r="B9" s="119" t="s">
        <v>9</v>
      </c>
      <c r="D9" s="177">
        <f>DCF!H50</f>
        <v>61.2</v>
      </c>
      <c r="E9" s="178"/>
      <c r="F9" s="164"/>
      <c r="G9" s="164"/>
      <c r="H9" s="174">
        <f>D9</f>
        <v>61.2</v>
      </c>
      <c r="J9" s="128" t="s">
        <v>10</v>
      </c>
      <c r="K9" s="124"/>
      <c r="L9" s="130">
        <f>SUM(Model!H43:I43)/Summary!H8</f>
        <v>4.7214627811544049E-2</v>
      </c>
      <c r="Q9" s="24"/>
    </row>
    <row r="10" spans="1:17" ht="16" thickBot="1" x14ac:dyDescent="0.25">
      <c r="B10" s="121" t="s">
        <v>11</v>
      </c>
      <c r="C10" s="21"/>
      <c r="D10" s="179">
        <f>D9*D8</f>
        <v>2460.2400000000002</v>
      </c>
      <c r="E10" s="179"/>
      <c r="F10" s="179"/>
      <c r="G10" s="179"/>
      <c r="H10" s="180">
        <f>H9*H8</f>
        <v>2460.2400000000002</v>
      </c>
      <c r="J10" s="131" t="s">
        <v>12</v>
      </c>
      <c r="K10" s="132"/>
      <c r="L10" s="133">
        <f>SUM(L8:L9)</f>
        <v>0.78718338964335877</v>
      </c>
      <c r="Q10" s="24"/>
    </row>
    <row r="11" spans="1:17" x14ac:dyDescent="0.2">
      <c r="B11" s="119" t="s">
        <v>13</v>
      </c>
      <c r="D11" s="164">
        <f>H11/$F$8</f>
        <v>1693.4</v>
      </c>
      <c r="E11" s="164"/>
      <c r="F11" s="164"/>
      <c r="G11" s="164"/>
      <c r="H11" s="174">
        <f>DCF!C57</f>
        <v>1693.4</v>
      </c>
    </row>
    <row r="12" spans="1:17" ht="16" thickBot="1" x14ac:dyDescent="0.25">
      <c r="B12" s="119" t="s">
        <v>14</v>
      </c>
      <c r="D12" s="164">
        <f>H12/$F$8</f>
        <v>0</v>
      </c>
      <c r="E12" s="164"/>
      <c r="F12" s="164"/>
      <c r="G12" s="164"/>
      <c r="H12" s="174">
        <f>DCF!C58</f>
        <v>0</v>
      </c>
    </row>
    <row r="13" spans="1:17" ht="16" thickBot="1" x14ac:dyDescent="0.25">
      <c r="B13" s="119" t="s">
        <v>15</v>
      </c>
      <c r="D13" s="164">
        <f>H13/$F$8</f>
        <v>104.1</v>
      </c>
      <c r="E13" s="164"/>
      <c r="F13" s="164"/>
      <c r="G13" s="164"/>
      <c r="H13" s="174">
        <f>DCF!C59</f>
        <v>104.1</v>
      </c>
      <c r="J13" s="61" t="s">
        <v>16</v>
      </c>
      <c r="K13" s="62"/>
      <c r="L13" s="234">
        <v>2</v>
      </c>
      <c r="M13" s="1" t="s">
        <v>17</v>
      </c>
    </row>
    <row r="14" spans="1:17" x14ac:dyDescent="0.2">
      <c r="B14" s="121" t="s">
        <v>18</v>
      </c>
      <c r="C14" s="21"/>
      <c r="D14" s="179">
        <f>D10+D11+D12-D13</f>
        <v>4049.5400000000004</v>
      </c>
      <c r="E14" s="179"/>
      <c r="F14" s="179"/>
      <c r="G14" s="179"/>
      <c r="H14" s="180">
        <f>H10+H11+H12-H13</f>
        <v>4049.5400000000004</v>
      </c>
    </row>
    <row r="15" spans="1:17" x14ac:dyDescent="0.2">
      <c r="B15" s="119"/>
      <c r="D15" s="164"/>
      <c r="E15" s="164"/>
      <c r="F15" s="181" t="s">
        <v>19</v>
      </c>
      <c r="G15" s="164"/>
      <c r="H15" s="174"/>
    </row>
    <row r="16" spans="1:17" x14ac:dyDescent="0.2">
      <c r="B16" s="119" t="s">
        <v>20</v>
      </c>
      <c r="D16" s="105">
        <f>H16/$F$8</f>
        <v>75.844277940834857</v>
      </c>
      <c r="E16" s="105"/>
      <c r="F16" s="186">
        <v>0.3</v>
      </c>
      <c r="G16" s="105"/>
      <c r="H16" s="173">
        <f>DCF!D60</f>
        <v>75.844277940834857</v>
      </c>
    </row>
    <row r="17" spans="2:22" x14ac:dyDescent="0.2">
      <c r="B17" s="122" t="s">
        <v>21</v>
      </c>
      <c r="C17" s="115"/>
      <c r="D17" s="182">
        <f>H17</f>
        <v>0.88667358061778234</v>
      </c>
      <c r="E17" s="182"/>
      <c r="F17" s="183"/>
      <c r="G17" s="182"/>
      <c r="H17" s="184">
        <f>DCF!D62</f>
        <v>0.88667358061778234</v>
      </c>
    </row>
    <row r="18" spans="2:22" x14ac:dyDescent="0.2">
      <c r="B18" s="119" t="s">
        <v>22</v>
      </c>
      <c r="D18" s="105">
        <f>H18/$F$8</f>
        <v>67.766831517997645</v>
      </c>
      <c r="E18" s="105"/>
      <c r="F18" s="186">
        <v>0.3</v>
      </c>
      <c r="G18" s="105"/>
      <c r="H18" s="173">
        <f>DCF!D70</f>
        <v>67.766831517997645</v>
      </c>
    </row>
    <row r="19" spans="2:22" x14ac:dyDescent="0.2">
      <c r="B19" s="122" t="s">
        <v>21</v>
      </c>
      <c r="C19" s="115"/>
      <c r="D19" s="182">
        <f>H19</f>
        <v>0.68574207756213035</v>
      </c>
      <c r="E19" s="182"/>
      <c r="F19" s="183"/>
      <c r="G19" s="182"/>
      <c r="H19" s="184">
        <f>DCF!D72</f>
        <v>0.68574207756213035</v>
      </c>
    </row>
    <row r="20" spans="2:22" x14ac:dyDescent="0.2">
      <c r="B20" s="119" t="s">
        <v>23</v>
      </c>
      <c r="D20" s="105">
        <f>H20/$F$8</f>
        <v>67.158528469973021</v>
      </c>
      <c r="E20" s="164"/>
      <c r="F20" s="187">
        <f>1-F18-F16</f>
        <v>0.39999999999999997</v>
      </c>
      <c r="G20" s="164"/>
      <c r="H20" s="174">
        <f>Comps!N33</f>
        <v>67.158528469973021</v>
      </c>
    </row>
    <row r="21" spans="2:22" ht="16" thickBot="1" x14ac:dyDescent="0.25">
      <c r="B21" s="123" t="s">
        <v>21</v>
      </c>
      <c r="C21" s="124"/>
      <c r="D21" s="185">
        <f>H21</f>
        <v>0.67061016094460246</v>
      </c>
      <c r="E21" s="185"/>
      <c r="F21" s="185"/>
      <c r="G21" s="185"/>
      <c r="H21" s="172">
        <f>H20/H8-1</f>
        <v>0.67061016094460246</v>
      </c>
    </row>
    <row r="23" spans="2:22" x14ac:dyDescent="0.2">
      <c r="B23" s="113" t="str">
        <f>DCF!B17</f>
        <v>In Millions of USD</v>
      </c>
      <c r="C23" s="114"/>
      <c r="D23" s="114"/>
      <c r="E23" s="114"/>
      <c r="F23" s="114"/>
      <c r="G23" s="114"/>
      <c r="H23" s="114" t="str">
        <f>DCF!C17</f>
        <v>FY2021</v>
      </c>
      <c r="I23" s="114" t="str">
        <f>DCF!D17</f>
        <v>FY2022</v>
      </c>
      <c r="J23" s="114" t="str">
        <f>DCF!E17</f>
        <v>FY2023</v>
      </c>
      <c r="K23" s="114" t="str">
        <f>DCF!F17</f>
        <v>FY2024</v>
      </c>
      <c r="L23" s="114" t="str">
        <f>DCF!G17</f>
        <v>FY2025</v>
      </c>
      <c r="M23" s="137" t="str">
        <f>DCF!H17</f>
        <v>FY2026 E</v>
      </c>
      <c r="N23" s="137" t="str">
        <f>DCF!I17</f>
        <v>FY2027 E</v>
      </c>
      <c r="O23" s="137" t="str">
        <f>DCF!J17</f>
        <v>FY2028 E</v>
      </c>
      <c r="P23" s="137" t="str">
        <f>DCF!K17</f>
        <v>FY2029 E</v>
      </c>
      <c r="Q23" s="137" t="str">
        <f>DCF!L17</f>
        <v>FY2030 E</v>
      </c>
      <c r="R23" s="137" t="str">
        <f>DCF!M17</f>
        <v>FY2031 E</v>
      </c>
      <c r="S23" s="137" t="str">
        <f>DCF!N17</f>
        <v>FY2032 E</v>
      </c>
      <c r="T23" s="137" t="str">
        <f>DCF!O17</f>
        <v>FY2033 E</v>
      </c>
      <c r="U23" s="137" t="str">
        <f>DCF!P17</f>
        <v>FY2034 E</v>
      </c>
      <c r="V23" s="138" t="str">
        <f>DCF!Q17</f>
        <v>FY2035 E</v>
      </c>
    </row>
    <row r="24" spans="2:22" x14ac:dyDescent="0.2">
      <c r="B24" s="66" t="str">
        <f>DCF!B18</f>
        <v>Revenue</v>
      </c>
      <c r="H24" s="83">
        <f>DCF!C18</f>
        <v>6372.8</v>
      </c>
      <c r="I24" s="83">
        <f>DCF!D18</f>
        <v>7806.6</v>
      </c>
      <c r="J24" s="83">
        <f>DCF!E18</f>
        <v>8096.4</v>
      </c>
      <c r="K24" s="83">
        <f>DCF!F18</f>
        <v>8359.4000000000015</v>
      </c>
      <c r="L24" s="83">
        <f>DCF!G18</f>
        <v>8745.9</v>
      </c>
      <c r="M24" s="83">
        <f>DCF!H18</f>
        <v>9287.8209999999999</v>
      </c>
      <c r="N24" s="83">
        <f>DCF!I18</f>
        <v>9742.0358699999997</v>
      </c>
      <c r="O24" s="83">
        <f>DCF!J18</f>
        <v>10178.1304894</v>
      </c>
      <c r="P24" s="83">
        <f>DCF!K18</f>
        <v>10763.806371344001</v>
      </c>
      <c r="Q24" s="83">
        <f>DCF!L18</f>
        <v>11176.604809676963</v>
      </c>
      <c r="R24" s="83">
        <f>DCF!M18</f>
        <v>11563.130522977346</v>
      </c>
      <c r="S24" s="83">
        <f>DCF!N18</f>
        <v>12156.005206822405</v>
      </c>
      <c r="T24" s="83">
        <f>DCF!O18</f>
        <v>12511.195859087278</v>
      </c>
      <c r="U24" s="83">
        <f>DCF!P18</f>
        <v>13044.196721083523</v>
      </c>
      <c r="V24" s="139">
        <f>DCF!Q18</f>
        <v>13452.234209000329</v>
      </c>
    </row>
    <row r="25" spans="2:22" x14ac:dyDescent="0.2">
      <c r="B25" s="66" t="str">
        <f>DCF!B19</f>
        <v>Revenue Growth</v>
      </c>
      <c r="H25" s="84">
        <f>DCF!C19</f>
        <v>0</v>
      </c>
      <c r="I25" s="84">
        <f>DCF!D19</f>
        <v>0.2249874466482551</v>
      </c>
      <c r="J25" s="84">
        <f>DCF!E19</f>
        <v>3.7122434862808307E-2</v>
      </c>
      <c r="K25" s="84">
        <f>DCF!F19</f>
        <v>3.2483572946000905E-2</v>
      </c>
      <c r="L25" s="84">
        <f>DCF!G19</f>
        <v>4.6235375744670515E-2</v>
      </c>
      <c r="M25" s="84">
        <f>DCF!H19</f>
        <v>6.1962862598474722E-2</v>
      </c>
      <c r="N25" s="84">
        <f>DCF!I19</f>
        <v>4.8904352269493634E-2</v>
      </c>
      <c r="O25" s="84">
        <f>DCF!J19</f>
        <v>4.4764218200317618E-2</v>
      </c>
      <c r="P25" s="84">
        <f>DCF!K19</f>
        <v>5.7542579411214323E-2</v>
      </c>
      <c r="Q25" s="84">
        <f>DCF!L19</f>
        <v>3.8350600530304702E-2</v>
      </c>
      <c r="R25" s="84">
        <f>DCF!M19</f>
        <v>3.4583464288342691E-2</v>
      </c>
      <c r="S25" s="84">
        <f>DCF!N19</f>
        <v>5.1272852335874308E-2</v>
      </c>
      <c r="T25" s="84">
        <f>DCF!O19</f>
        <v>2.9219356706554178E-2</v>
      </c>
      <c r="U25" s="84">
        <f>DCF!P19</f>
        <v>4.2601911759626798E-2</v>
      </c>
      <c r="V25" s="140">
        <f>DCF!Q19</f>
        <v>3.1281151046832267E-2</v>
      </c>
    </row>
    <row r="26" spans="2:22" x14ac:dyDescent="0.2">
      <c r="B26" s="66" t="str">
        <f>DCF!B20</f>
        <v>Segment Operating Expenses</v>
      </c>
      <c r="H26" s="83">
        <f>DCF!C20</f>
        <v>5788.4000000000005</v>
      </c>
      <c r="I26" s="83">
        <f>DCF!D20</f>
        <v>7169.7000000000007</v>
      </c>
      <c r="J26" s="83">
        <f>DCF!E20</f>
        <v>7456.2</v>
      </c>
      <c r="K26" s="83">
        <f>DCF!F20</f>
        <v>7702.3000000000011</v>
      </c>
      <c r="L26" s="83">
        <f>DCF!G20</f>
        <v>8058.2</v>
      </c>
      <c r="M26" s="83">
        <f>DCF!H20</f>
        <v>8549.9289050000007</v>
      </c>
      <c r="N26" s="83">
        <f>DCF!I20</f>
        <v>8941.7986935499994</v>
      </c>
      <c r="O26" s="83">
        <f>DCF!J20</f>
        <v>9312.3273299350003</v>
      </c>
      <c r="P26" s="83">
        <f>DCF!K20</f>
        <v>9850.3682572047401</v>
      </c>
      <c r="Q26" s="83">
        <f>DCF!L20</f>
        <v>10215.666623276022</v>
      </c>
      <c r="R26" s="83">
        <f>DCF!M20</f>
        <v>10568.116100828811</v>
      </c>
      <c r="S26" s="83">
        <f>DCF!N20</f>
        <v>11103.762044132893</v>
      </c>
      <c r="T26" s="83">
        <f>DCF!O20</f>
        <v>11426.526995072436</v>
      </c>
      <c r="U26" s="83">
        <f>DCF!P20</f>
        <v>11907.768178170358</v>
      </c>
      <c r="V26" s="139">
        <f>DCF!Q20</f>
        <v>12278.02695087165</v>
      </c>
    </row>
    <row r="27" spans="2:22" x14ac:dyDescent="0.2">
      <c r="B27" s="66" t="str">
        <f>DCF!B21</f>
        <v>Segment Operating Expenses as a % of Revenue</v>
      </c>
      <c r="H27" s="84">
        <f>DCF!C21</f>
        <v>0.90829776550338948</v>
      </c>
      <c r="I27" s="84">
        <f>DCF!D21</f>
        <v>0.91841518714933523</v>
      </c>
      <c r="J27" s="84">
        <f>DCF!E21</f>
        <v>0.92092781977175042</v>
      </c>
      <c r="K27" s="84">
        <f>DCF!F21</f>
        <v>0.92139387994353661</v>
      </c>
      <c r="L27" s="84">
        <f>DCF!G21</f>
        <v>0.92136886998479284</v>
      </c>
      <c r="M27" s="84">
        <f>DCF!H21</f>
        <v>0.92055272221546913</v>
      </c>
      <c r="N27" s="84">
        <f>DCF!I21</f>
        <v>0.91785729521749337</v>
      </c>
      <c r="O27" s="84">
        <f>DCF!J21</f>
        <v>0.91493495191806695</v>
      </c>
      <c r="P27" s="84">
        <f>DCF!K21</f>
        <v>0.9151380020574259</v>
      </c>
      <c r="Q27" s="84">
        <f>DCF!L21</f>
        <v>0.91402235269435861</v>
      </c>
      <c r="R27" s="84">
        <f>DCF!M21</f>
        <v>0.91394939111243956</v>
      </c>
      <c r="S27" s="84">
        <f>DCF!N21</f>
        <v>0.91343840803071108</v>
      </c>
      <c r="T27" s="84">
        <f>DCF!O21</f>
        <v>0.91330414164789753</v>
      </c>
      <c r="U27" s="84">
        <f>DCF!P21</f>
        <v>0.91287861052598673</v>
      </c>
      <c r="V27" s="140">
        <f>DCF!Q21</f>
        <v>0.91271284458138069</v>
      </c>
    </row>
    <row r="28" spans="2:22" x14ac:dyDescent="0.2">
      <c r="B28" s="66" t="str">
        <f>DCF!B22</f>
        <v>Total Segment Operating profit</v>
      </c>
      <c r="H28" s="83">
        <f>DCF!C22</f>
        <v>584.39999999999964</v>
      </c>
      <c r="I28" s="83">
        <f>DCF!D22</f>
        <v>636.89999999999964</v>
      </c>
      <c r="J28" s="83">
        <f>DCF!E22</f>
        <v>640.19999999999982</v>
      </c>
      <c r="K28" s="83">
        <f>DCF!F22</f>
        <v>657.10000000000036</v>
      </c>
      <c r="L28" s="83">
        <f>DCF!G22</f>
        <v>687.69999999999982</v>
      </c>
      <c r="M28" s="83">
        <f>DCF!H22</f>
        <v>737.89209499999924</v>
      </c>
      <c r="N28" s="83">
        <f>DCF!I22</f>
        <v>800.23717645000033</v>
      </c>
      <c r="O28" s="83">
        <f>DCF!J22</f>
        <v>865.80315946500014</v>
      </c>
      <c r="P28" s="83">
        <f>DCF!K22</f>
        <v>913.43811413926051</v>
      </c>
      <c r="Q28" s="83">
        <f>DCF!L22</f>
        <v>960.93818640094105</v>
      </c>
      <c r="R28" s="83">
        <f>DCF!M22</f>
        <v>995.01442214853523</v>
      </c>
      <c r="S28" s="83">
        <f>DCF!N22</f>
        <v>1052.2431626895122</v>
      </c>
      <c r="T28" s="83">
        <f>DCF!O22</f>
        <v>1084.6688640148423</v>
      </c>
      <c r="U28" s="83">
        <f>DCF!P22</f>
        <v>1136.4285429131651</v>
      </c>
      <c r="V28" s="139">
        <f>DCF!Q22</f>
        <v>1174.2072581286793</v>
      </c>
    </row>
    <row r="29" spans="2:22" x14ac:dyDescent="0.2">
      <c r="B29" s="66" t="str">
        <f>DCF!B23</f>
        <v>Margin</v>
      </c>
      <c r="H29" s="84">
        <f>DCF!C23</f>
        <v>9.1702234496610524E-2</v>
      </c>
      <c r="I29" s="84">
        <f>DCF!D23</f>
        <v>8.1584812850664767E-2</v>
      </c>
      <c r="J29" s="84">
        <f>DCF!E23</f>
        <v>7.9072180228249578E-2</v>
      </c>
      <c r="K29" s="84">
        <f>DCF!F23</f>
        <v>7.8606120056463391E-2</v>
      </c>
      <c r="L29" s="84">
        <f>DCF!G23</f>
        <v>7.8631130015207162E-2</v>
      </c>
      <c r="M29" s="84">
        <f>DCF!H23</f>
        <v>7.9447277784530868E-2</v>
      </c>
      <c r="N29" s="84">
        <f>DCF!I23</f>
        <v>8.2142704782506626E-2</v>
      </c>
      <c r="O29" s="84">
        <f>DCF!J23</f>
        <v>8.5065048081933048E-2</v>
      </c>
      <c r="P29" s="84">
        <f>DCF!K23</f>
        <v>8.4861997942574097E-2</v>
      </c>
      <c r="Q29" s="84">
        <f>DCF!L23</f>
        <v>8.5977647305641391E-2</v>
      </c>
      <c r="R29" s="84">
        <f>DCF!M23</f>
        <v>8.6050608887560442E-2</v>
      </c>
      <c r="S29" s="84">
        <f>DCF!N23</f>
        <v>8.656159196928892E-2</v>
      </c>
      <c r="T29" s="84">
        <f>DCF!O23</f>
        <v>8.6695858352102473E-2</v>
      </c>
      <c r="U29" s="84">
        <f>DCF!P23</f>
        <v>8.7121389474013267E-2</v>
      </c>
      <c r="V29" s="140">
        <f>DCF!Q23</f>
        <v>8.7287155418619311E-2</v>
      </c>
    </row>
    <row r="30" spans="2:22" x14ac:dyDescent="0.2">
      <c r="B30" s="66" t="str">
        <f>DCF!B24</f>
        <v>EBIT</v>
      </c>
      <c r="H30" s="83">
        <f>DCF!C24</f>
        <v>209.79999999999995</v>
      </c>
      <c r="I30" s="83">
        <f>DCF!D24</f>
        <v>352.39999999999986</v>
      </c>
      <c r="J30" s="83">
        <f>DCF!E24</f>
        <v>409.40000000000009</v>
      </c>
      <c r="K30" s="83">
        <f>DCF!F24</f>
        <v>213</v>
      </c>
      <c r="L30" s="83">
        <f>DCF!G24</f>
        <v>311.80000000000007</v>
      </c>
      <c r="M30" s="83">
        <f>DCF!H24</f>
        <v>314.5992550000002</v>
      </c>
      <c r="N30" s="83">
        <f>DCF!I24</f>
        <v>364.87574165000001</v>
      </c>
      <c r="O30" s="83">
        <f>DCF!J24</f>
        <v>418.3979398890001</v>
      </c>
      <c r="P30" s="83">
        <f>DCF!K24</f>
        <v>443.9058592854999</v>
      </c>
      <c r="Q30" s="83">
        <f>DCF!L24</f>
        <v>479.99399401386256</v>
      </c>
      <c r="R30" s="83">
        <f>DCF!M24</f>
        <v>501.06920122944103</v>
      </c>
      <c r="S30" s="83">
        <f>DCF!N24</f>
        <v>531.79695441661534</v>
      </c>
      <c r="T30" s="83">
        <f>DCF!O24</f>
        <v>552.00762965135016</v>
      </c>
      <c r="U30" s="83">
        <f>DCF!P24</f>
        <v>580.24061406982503</v>
      </c>
      <c r="V30" s="139">
        <f>DCF!Q24</f>
        <v>603.31183576866567</v>
      </c>
    </row>
    <row r="31" spans="2:22" x14ac:dyDescent="0.2">
      <c r="B31" s="66" t="str">
        <f>DCF!B25</f>
        <v>EBIT Margin</v>
      </c>
      <c r="H31" s="84">
        <f>DCF!C25</f>
        <v>3.2921164951041922E-2</v>
      </c>
      <c r="I31" s="84">
        <f>DCF!D25</f>
        <v>4.5141290702738687E-2</v>
      </c>
      <c r="J31" s="84">
        <f>DCF!E25</f>
        <v>5.0565683513660406E-2</v>
      </c>
      <c r="K31" s="84">
        <f>DCF!F25</f>
        <v>2.5480297629016432E-2</v>
      </c>
      <c r="L31" s="84">
        <f>DCF!G25</f>
        <v>3.5650990749951414E-2</v>
      </c>
      <c r="M31" s="84">
        <f>DCF!H25</f>
        <v>3.3872234940789683E-2</v>
      </c>
      <c r="N31" s="84">
        <f>DCF!I25</f>
        <v>3.7453746477531705E-2</v>
      </c>
      <c r="O31" s="84">
        <f>DCF!J25</f>
        <v>4.1107543308148788E-2</v>
      </c>
      <c r="P31" s="84">
        <f>DCF!K25</f>
        <v>4.1240602438491515E-2</v>
      </c>
      <c r="Q31" s="84">
        <f>DCF!L25</f>
        <v>4.2946315288724592E-2</v>
      </c>
      <c r="R31" s="84">
        <f>DCF!M25</f>
        <v>4.3333351658857058E-2</v>
      </c>
      <c r="S31" s="84">
        <f>DCF!N25</f>
        <v>4.3747674122264359E-2</v>
      </c>
      <c r="T31" s="84">
        <f>DCF!O25</f>
        <v>4.4121092489364994E-2</v>
      </c>
      <c r="U31" s="84">
        <f>DCF!P25</f>
        <v>4.4482663553515239E-2</v>
      </c>
      <c r="V31" s="140">
        <f>DCF!Q25</f>
        <v>4.4848448695980543E-2</v>
      </c>
    </row>
    <row r="32" spans="2:22" x14ac:dyDescent="0.2">
      <c r="B32" s="66" t="str">
        <f>DCF!B26</f>
        <v>EBITDA</v>
      </c>
      <c r="H32" s="83">
        <f>DCF!C26</f>
        <v>299.69999999999993</v>
      </c>
      <c r="I32" s="83">
        <f>DCF!D26</f>
        <v>464.79999999999984</v>
      </c>
      <c r="J32" s="83">
        <f>DCF!E26</f>
        <v>530.10000000000014</v>
      </c>
      <c r="K32" s="83">
        <f>DCF!F26</f>
        <v>319.60000000000002</v>
      </c>
      <c r="L32" s="83">
        <f>DCF!G26</f>
        <v>417.40000000000009</v>
      </c>
      <c r="M32" s="83">
        <f>DCF!H26</f>
        <v>420.85925500000019</v>
      </c>
      <c r="N32" s="83">
        <f>DCF!I26</f>
        <v>468.41147840436491</v>
      </c>
      <c r="O32" s="83">
        <f>DCF!J26</f>
        <v>519.36307397441158</v>
      </c>
      <c r="P32" s="83">
        <f>DCF!K26</f>
        <v>546.2875159546262</v>
      </c>
      <c r="Q32" s="83">
        <f>DCF!L26</f>
        <v>580.92394554667464</v>
      </c>
      <c r="R32" s="83">
        <f>DCF!M26</f>
        <v>602.11055866906429</v>
      </c>
      <c r="S32" s="83">
        <f>DCF!N26</f>
        <v>638.03205958495778</v>
      </c>
      <c r="T32" s="83">
        <f>DCF!O26</f>
        <v>659.94327249287414</v>
      </c>
      <c r="U32" s="83">
        <f>DCF!P26</f>
        <v>692.59547213555584</v>
      </c>
      <c r="V32" s="139">
        <f>DCF!Q26</f>
        <v>717.37285922459705</v>
      </c>
    </row>
    <row r="33" spans="2:22" x14ac:dyDescent="0.2">
      <c r="B33" s="66" t="str">
        <f>DCF!B27</f>
        <v>EBITDA Margin</v>
      </c>
      <c r="H33" s="84">
        <f>DCF!C27</f>
        <v>4.7027993974391148E-2</v>
      </c>
      <c r="I33" s="84">
        <f>DCF!D27</f>
        <v>5.9539364127789283E-2</v>
      </c>
      <c r="J33" s="84">
        <f>DCF!E27</f>
        <v>6.5473543797243239E-2</v>
      </c>
      <c r="K33" s="84">
        <f>DCF!F27</f>
        <v>3.8232409024571139E-2</v>
      </c>
      <c r="L33" s="84">
        <f>DCF!G27</f>
        <v>4.7725219817285829E-2</v>
      </c>
      <c r="M33" s="84">
        <f>DCF!H27</f>
        <v>4.531302390517649E-2</v>
      </c>
      <c r="N33" s="84">
        <f>DCF!I27</f>
        <v>4.8081477491456304E-2</v>
      </c>
      <c r="O33" s="84">
        <f>DCF!J27</f>
        <v>5.1027354632100806E-2</v>
      </c>
      <c r="P33" s="84">
        <f>DCF!K27</f>
        <v>5.0752261524230222E-2</v>
      </c>
      <c r="Q33" s="84">
        <f>DCF!L27</f>
        <v>5.19767814500963E-2</v>
      </c>
      <c r="R33" s="84">
        <f>DCF!M27</f>
        <v>5.2071587142651157E-2</v>
      </c>
      <c r="S33" s="84">
        <f>DCF!N27</f>
        <v>5.2486984723144926E-2</v>
      </c>
      <c r="T33" s="84">
        <f>DCF!O27</f>
        <v>5.2748216871174342E-2</v>
      </c>
      <c r="U33" s="84">
        <f>DCF!P27</f>
        <v>5.3096061562465081E-2</v>
      </c>
      <c r="V33" s="140">
        <f>DCF!Q27</f>
        <v>5.332741372764925E-2</v>
      </c>
    </row>
    <row r="34" spans="2:22" x14ac:dyDescent="0.2">
      <c r="B34" s="66" t="str">
        <f>DCF!B28</f>
        <v>Tax</v>
      </c>
      <c r="H34" s="83">
        <f>DCF!C28</f>
        <v>-53.5</v>
      </c>
      <c r="I34" s="83">
        <f>DCF!D28</f>
        <v>-79.599999999999994</v>
      </c>
      <c r="J34" s="83">
        <f>DCF!E28</f>
        <v>-79.8</v>
      </c>
      <c r="K34" s="83">
        <f>DCF!F28</f>
        <v>-52.2</v>
      </c>
      <c r="L34" s="83">
        <f>DCF!G28</f>
        <v>-57.5</v>
      </c>
      <c r="M34" s="83">
        <f>DCF!H28</f>
        <v>-57.076063750000046</v>
      </c>
      <c r="N34" s="83">
        <f>DCF!I28</f>
        <v>-68.220852334414118</v>
      </c>
      <c r="O34" s="83">
        <f>DCF!J28</f>
        <v>-82.694408889873401</v>
      </c>
      <c r="P34" s="83">
        <f>DCF!K28</f>
        <v>-90.107786887799904</v>
      </c>
      <c r="Q34" s="83">
        <f>DCF!L28</f>
        <v>-98.325021396847745</v>
      </c>
      <c r="R34" s="83">
        <f>DCF!M28</f>
        <v>-105.32266551872976</v>
      </c>
      <c r="S34" s="83">
        <f>DCF!N28</f>
        <v>-114.8404383542583</v>
      </c>
      <c r="T34" s="83">
        <f>DCF!O28</f>
        <v>-119.22134748606456</v>
      </c>
      <c r="U34" s="83">
        <f>DCF!P28</f>
        <v>-128.95044037093766</v>
      </c>
      <c r="V34" s="139">
        <f>DCF!Q28</f>
        <v>-134.72134722000331</v>
      </c>
    </row>
    <row r="35" spans="2:22" x14ac:dyDescent="0.2">
      <c r="B35" s="66" t="str">
        <f>DCF!B29</f>
        <v>NOPAT</v>
      </c>
      <c r="H35" s="83">
        <f>DCF!C29</f>
        <v>156.29999999999995</v>
      </c>
      <c r="I35" s="83">
        <f>DCF!D29</f>
        <v>272.79999999999984</v>
      </c>
      <c r="J35" s="83">
        <f>DCF!E29</f>
        <v>329.60000000000008</v>
      </c>
      <c r="K35" s="83">
        <f>DCF!F29</f>
        <v>160.80000000000001</v>
      </c>
      <c r="L35" s="83">
        <f>DCF!G29</f>
        <v>254.30000000000007</v>
      </c>
      <c r="M35" s="83">
        <f>DCF!H29</f>
        <v>257.52319125000014</v>
      </c>
      <c r="N35" s="83">
        <f>DCF!I29</f>
        <v>296.65488931558588</v>
      </c>
      <c r="O35" s="83">
        <f>DCF!J29</f>
        <v>335.70353099912671</v>
      </c>
      <c r="P35" s="83">
        <f>DCF!K29</f>
        <v>353.79807239770003</v>
      </c>
      <c r="Q35" s="83">
        <f>DCF!L29</f>
        <v>381.66897261701479</v>
      </c>
      <c r="R35" s="83">
        <f>DCF!M29</f>
        <v>395.74653571071127</v>
      </c>
      <c r="S35" s="83">
        <f>DCF!N29</f>
        <v>416.95651606235703</v>
      </c>
      <c r="T35" s="83">
        <f>DCF!O29</f>
        <v>432.78628216528557</v>
      </c>
      <c r="U35" s="83">
        <f>DCF!P29</f>
        <v>451.29017369888737</v>
      </c>
      <c r="V35" s="139">
        <f>DCF!Q29</f>
        <v>468.59048854866239</v>
      </c>
    </row>
    <row r="36" spans="2:22" x14ac:dyDescent="0.2">
      <c r="B36" s="68" t="str">
        <f>DCF!B35</f>
        <v>FCFF</v>
      </c>
      <c r="C36" s="46"/>
      <c r="D36" s="46"/>
      <c r="E36" s="46"/>
      <c r="F36" s="46"/>
      <c r="G36" s="46"/>
      <c r="H36" s="141">
        <f>DCF!C35</f>
        <v>-341.90000000000003</v>
      </c>
      <c r="I36" s="141">
        <f>DCF!D35</f>
        <v>-133.00000000000011</v>
      </c>
      <c r="J36" s="141">
        <f>DCF!E35</f>
        <v>93.300000000000068</v>
      </c>
      <c r="K36" s="141">
        <f>DCF!F35</f>
        <v>5.2999999999999829</v>
      </c>
      <c r="L36" s="141">
        <f>DCF!G35</f>
        <v>247.10000000000008</v>
      </c>
      <c r="M36" s="141">
        <f>DCF!H35</f>
        <v>14.26822365057231</v>
      </c>
      <c r="N36" s="141">
        <f>DCF!I35</f>
        <v>263.08539173808043</v>
      </c>
      <c r="O36" s="141">
        <f>DCF!J35</f>
        <v>298.9670491063855</v>
      </c>
      <c r="P36" s="141">
        <f>DCF!K35</f>
        <v>103.22152921821782</v>
      </c>
      <c r="Q36" s="141">
        <f>DCF!L35</f>
        <v>342.1492116749846</v>
      </c>
      <c r="R36" s="141">
        <f>DCF!M35</f>
        <v>357.97615308886964</v>
      </c>
      <c r="S36" s="141">
        <f>DCF!N35</f>
        <v>111.28841960517147</v>
      </c>
      <c r="T36" s="141">
        <f>DCF!O35</f>
        <v>399.89960034265238</v>
      </c>
      <c r="U36" s="141">
        <f>DCF!P35</f>
        <v>202.04334457600601</v>
      </c>
      <c r="V36" s="142">
        <f>DCF!Q35</f>
        <v>427.26287532415557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94EE-2AAE-4492-B672-306701B43893}">
  <dimension ref="A1:U109"/>
  <sheetViews>
    <sheetView zoomScaleNormal="90" workbookViewId="0">
      <pane xSplit="3" ySplit="16" topLeftCell="D17" activePane="bottomRight" state="frozen"/>
      <selection pane="topRight" activeCell="D1" sqref="D1"/>
      <selection pane="bottomLeft" activeCell="A17" sqref="A17"/>
      <selection pane="bottomRight" activeCell="K105" sqref="K105"/>
    </sheetView>
  </sheetViews>
  <sheetFormatPr baseColWidth="10" defaultColWidth="9.33203125" defaultRowHeight="15" outlineLevelRow="1" x14ac:dyDescent="0.2"/>
  <cols>
    <col min="1" max="1" width="9.5" style="1" customWidth="1"/>
    <col min="2" max="2" width="10" style="1" customWidth="1"/>
    <col min="3" max="3" width="26.33203125" style="1" customWidth="1"/>
    <col min="4" max="4" width="2" style="1" customWidth="1"/>
    <col min="5" max="5" width="6.6640625" style="1" customWidth="1"/>
    <col min="6" max="20" width="11.5" style="1" bestFit="1" customWidth="1"/>
    <col min="21" max="16384" width="9.33203125" style="1"/>
  </cols>
  <sheetData>
    <row r="1" spans="1:20" x14ac:dyDescent="0.2">
      <c r="A1" s="1" t="s">
        <v>24</v>
      </c>
      <c r="B1" s="43" t="s">
        <v>289</v>
      </c>
      <c r="C1" s="6"/>
    </row>
    <row r="2" spans="1:20" x14ac:dyDescent="0.2">
      <c r="A2" s="1" t="s">
        <v>25</v>
      </c>
      <c r="B2" s="43" t="s">
        <v>290</v>
      </c>
      <c r="C2" s="6"/>
    </row>
    <row r="3" spans="1:20" x14ac:dyDescent="0.2">
      <c r="A3" s="1" t="s">
        <v>26</v>
      </c>
      <c r="B3" s="43" t="s">
        <v>6</v>
      </c>
      <c r="C3" s="6"/>
    </row>
    <row r="4" spans="1:20" x14ac:dyDescent="0.2">
      <c r="A4" s="1" t="s">
        <v>27</v>
      </c>
      <c r="B4" s="43">
        <v>2025</v>
      </c>
      <c r="C4" s="6"/>
    </row>
    <row r="5" spans="1:20" x14ac:dyDescent="0.2">
      <c r="A5" s="1" t="s">
        <v>28</v>
      </c>
      <c r="B5" s="201">
        <f ca="1">TODAY()</f>
        <v>46156</v>
      </c>
      <c r="C5" s="6"/>
    </row>
    <row r="7" spans="1:20" s="7" customFormat="1" x14ac:dyDescent="0.2">
      <c r="C7" s="9" t="str">
        <f>"In Millions of " &amp; B3</f>
        <v>In Millions of USD</v>
      </c>
      <c r="D7" s="9"/>
      <c r="E7" s="9" t="s">
        <v>29</v>
      </c>
      <c r="F7" s="9" t="str">
        <f>"FY"&amp;F8</f>
        <v>FY2021</v>
      </c>
      <c r="G7" s="9" t="str">
        <f t="shared" ref="G7:J7" si="0">"FY"&amp;G8</f>
        <v>FY2022</v>
      </c>
      <c r="H7" s="9" t="str">
        <f t="shared" si="0"/>
        <v>FY2023</v>
      </c>
      <c r="I7" s="9" t="str">
        <f t="shared" si="0"/>
        <v>FY2024</v>
      </c>
      <c r="J7" s="9" t="str">
        <f t="shared" si="0"/>
        <v>FY2025</v>
      </c>
      <c r="K7" s="10" t="str">
        <f>"FY"&amp;K8&amp;" E"</f>
        <v>FY2026 E</v>
      </c>
      <c r="L7" s="10" t="str">
        <f t="shared" ref="L7:T7" si="1">"FY"&amp;L8&amp;" E"</f>
        <v>FY2027 E</v>
      </c>
      <c r="M7" s="10" t="str">
        <f t="shared" si="1"/>
        <v>FY2028 E</v>
      </c>
      <c r="N7" s="10" t="str">
        <f t="shared" si="1"/>
        <v>FY2029 E</v>
      </c>
      <c r="O7" s="10" t="str">
        <f t="shared" si="1"/>
        <v>FY2030 E</v>
      </c>
      <c r="P7" s="10" t="str">
        <f t="shared" si="1"/>
        <v>FY2031 E</v>
      </c>
      <c r="Q7" s="10" t="str">
        <f t="shared" si="1"/>
        <v>FY2032 E</v>
      </c>
      <c r="R7" s="10" t="str">
        <f t="shared" si="1"/>
        <v>FY2033 E</v>
      </c>
      <c r="S7" s="10" t="str">
        <f t="shared" si="1"/>
        <v>FY2034 E</v>
      </c>
      <c r="T7" s="10" t="str">
        <f t="shared" si="1"/>
        <v>FY2035 E</v>
      </c>
    </row>
    <row r="8" spans="1:20" outlineLevel="1" x14ac:dyDescent="0.2">
      <c r="F8" s="1">
        <f t="shared" ref="F8:H8" si="2">$J$8+F9</f>
        <v>2021</v>
      </c>
      <c r="G8" s="1">
        <f t="shared" si="2"/>
        <v>2022</v>
      </c>
      <c r="H8" s="1">
        <f t="shared" si="2"/>
        <v>2023</v>
      </c>
      <c r="I8" s="1">
        <f>$J$8+I9</f>
        <v>2024</v>
      </c>
      <c r="J8" s="1">
        <f>B4</f>
        <v>2025</v>
      </c>
      <c r="K8" s="1">
        <f t="shared" ref="K8:T8" si="3">K9+$J$8</f>
        <v>2026</v>
      </c>
      <c r="L8" s="1">
        <f t="shared" si="3"/>
        <v>2027</v>
      </c>
      <c r="M8" s="1">
        <f t="shared" si="3"/>
        <v>2028</v>
      </c>
      <c r="N8" s="1">
        <f t="shared" si="3"/>
        <v>2029</v>
      </c>
      <c r="O8" s="1">
        <f t="shared" si="3"/>
        <v>2030</v>
      </c>
      <c r="P8" s="1">
        <f t="shared" si="3"/>
        <v>2031</v>
      </c>
      <c r="Q8" s="1">
        <f t="shared" si="3"/>
        <v>2032</v>
      </c>
      <c r="R8" s="1">
        <f t="shared" si="3"/>
        <v>2033</v>
      </c>
      <c r="S8" s="1">
        <f t="shared" si="3"/>
        <v>2034</v>
      </c>
      <c r="T8" s="1">
        <f t="shared" si="3"/>
        <v>2035</v>
      </c>
    </row>
    <row r="9" spans="1:20" outlineLevel="1" x14ac:dyDescent="0.2">
      <c r="F9" s="1">
        <f t="shared" ref="F9:H9" si="4">G9-1</f>
        <v>-4</v>
      </c>
      <c r="G9" s="1">
        <f t="shared" si="4"/>
        <v>-3</v>
      </c>
      <c r="H9" s="1">
        <f t="shared" si="4"/>
        <v>-2</v>
      </c>
      <c r="I9" s="1">
        <f>J9-1</f>
        <v>-1</v>
      </c>
      <c r="J9" s="1">
        <v>0</v>
      </c>
      <c r="K9" s="1">
        <f>J9+1</f>
        <v>1</v>
      </c>
      <c r="L9" s="1">
        <f t="shared" ref="L9:T9" si="5">K9+1</f>
        <v>2</v>
      </c>
      <c r="M9" s="1">
        <f t="shared" si="5"/>
        <v>3</v>
      </c>
      <c r="N9" s="1">
        <f t="shared" si="5"/>
        <v>4</v>
      </c>
      <c r="O9" s="1">
        <f t="shared" si="5"/>
        <v>5</v>
      </c>
      <c r="P9" s="1">
        <f t="shared" si="5"/>
        <v>6</v>
      </c>
      <c r="Q9" s="1">
        <f t="shared" si="5"/>
        <v>7</v>
      </c>
      <c r="R9" s="1">
        <f t="shared" si="5"/>
        <v>8</v>
      </c>
      <c r="S9" s="1">
        <f t="shared" si="5"/>
        <v>9</v>
      </c>
      <c r="T9" s="1">
        <f t="shared" si="5"/>
        <v>10</v>
      </c>
    </row>
    <row r="10" spans="1:20" hidden="1" outlineLevel="1" x14ac:dyDescent="0.2">
      <c r="K10" s="11" t="e">
        <f ca="1">(K14-TODAY())/K15</f>
        <v>#VALUE!</v>
      </c>
      <c r="L10" s="11" t="e">
        <f ca="1">(L14-TODAY())/L15</f>
        <v>#VALUE!</v>
      </c>
      <c r="M10" s="11" t="e">
        <f t="shared" ref="M10:T10" ca="1" si="6">(M14-TODAY())/M15</f>
        <v>#VALUE!</v>
      </c>
      <c r="N10" s="11" t="e">
        <f t="shared" ca="1" si="6"/>
        <v>#VALUE!</v>
      </c>
      <c r="O10" s="11" t="e">
        <f t="shared" ca="1" si="6"/>
        <v>#VALUE!</v>
      </c>
      <c r="P10" s="11" t="e">
        <f t="shared" ca="1" si="6"/>
        <v>#VALUE!</v>
      </c>
      <c r="Q10" s="11" t="e">
        <f t="shared" ca="1" si="6"/>
        <v>#VALUE!</v>
      </c>
      <c r="R10" s="11" t="e">
        <f t="shared" ca="1" si="6"/>
        <v>#VALUE!</v>
      </c>
      <c r="S10" s="11" t="e">
        <f t="shared" ca="1" si="6"/>
        <v>#VALUE!</v>
      </c>
      <c r="T10" s="11" t="e">
        <f t="shared" ca="1" si="6"/>
        <v>#VALUE!</v>
      </c>
    </row>
    <row r="11" spans="1:20" hidden="1" outlineLevel="1" x14ac:dyDescent="0.2">
      <c r="E11" s="8" t="s">
        <v>29</v>
      </c>
      <c r="F11" s="1" t="str">
        <f t="shared" ref="F11:T11" si="7">F9&amp;$E$11</f>
        <v>-4FY</v>
      </c>
      <c r="G11" s="1" t="str">
        <f t="shared" si="7"/>
        <v>-3FY</v>
      </c>
      <c r="H11" s="1" t="str">
        <f t="shared" si="7"/>
        <v>-2FY</v>
      </c>
      <c r="I11" s="1" t="str">
        <f t="shared" si="7"/>
        <v>-1FY</v>
      </c>
      <c r="J11" s="1" t="str">
        <f t="shared" si="7"/>
        <v>0FY</v>
      </c>
      <c r="K11" s="1" t="str">
        <f t="shared" si="7"/>
        <v>1FY</v>
      </c>
      <c r="L11" s="1" t="str">
        <f t="shared" si="7"/>
        <v>2FY</v>
      </c>
      <c r="M11" s="1" t="str">
        <f t="shared" si="7"/>
        <v>3FY</v>
      </c>
      <c r="N11" s="1" t="str">
        <f t="shared" si="7"/>
        <v>4FY</v>
      </c>
      <c r="O11" s="1" t="str">
        <f t="shared" si="7"/>
        <v>5FY</v>
      </c>
      <c r="P11" s="1" t="str">
        <f t="shared" si="7"/>
        <v>6FY</v>
      </c>
      <c r="Q11" s="1" t="str">
        <f t="shared" si="7"/>
        <v>7FY</v>
      </c>
      <c r="R11" s="1" t="str">
        <f t="shared" si="7"/>
        <v>8FY</v>
      </c>
      <c r="S11" s="1" t="str">
        <f t="shared" si="7"/>
        <v>9FY</v>
      </c>
      <c r="T11" s="1" t="str">
        <f t="shared" si="7"/>
        <v>10FY</v>
      </c>
    </row>
    <row r="12" spans="1:20" hidden="1" outlineLevel="1" x14ac:dyDescent="0.2">
      <c r="E12" s="8" t="s">
        <v>30</v>
      </c>
      <c r="F12" s="1" t="str">
        <f>F9&amp;$E$12</f>
        <v>-4A</v>
      </c>
      <c r="G12" s="1" t="str">
        <f t="shared" ref="G12:T12" si="8">G9&amp;$E$12</f>
        <v>-3A</v>
      </c>
      <c r="H12" s="1" t="str">
        <f t="shared" si="8"/>
        <v>-2A</v>
      </c>
      <c r="I12" s="1" t="str">
        <f t="shared" si="8"/>
        <v>-1A</v>
      </c>
      <c r="J12" s="1" t="str">
        <f t="shared" si="8"/>
        <v>0A</v>
      </c>
      <c r="K12" s="1" t="str">
        <f t="shared" si="8"/>
        <v>1A</v>
      </c>
      <c r="L12" s="1" t="str">
        <f t="shared" si="8"/>
        <v>2A</v>
      </c>
      <c r="M12" s="1" t="str">
        <f t="shared" si="8"/>
        <v>3A</v>
      </c>
      <c r="N12" s="1" t="str">
        <f t="shared" si="8"/>
        <v>4A</v>
      </c>
      <c r="O12" s="1" t="str">
        <f t="shared" si="8"/>
        <v>5A</v>
      </c>
      <c r="P12" s="1" t="str">
        <f t="shared" si="8"/>
        <v>6A</v>
      </c>
      <c r="Q12" s="1" t="str">
        <f t="shared" si="8"/>
        <v>7A</v>
      </c>
      <c r="R12" s="1" t="str">
        <f t="shared" si="8"/>
        <v>8A</v>
      </c>
      <c r="S12" s="1" t="str">
        <f t="shared" si="8"/>
        <v>9A</v>
      </c>
      <c r="T12" s="1" t="str">
        <f t="shared" si="8"/>
        <v>10A</v>
      </c>
    </row>
    <row r="13" spans="1:20" hidden="1" outlineLevel="1" x14ac:dyDescent="0.2">
      <c r="E13" s="8" t="s">
        <v>31</v>
      </c>
      <c r="F13" s="242" t="str">
        <f t="shared" ref="F13:I13" si="9">"12/31/"&amp;F8-1</f>
        <v>12/31/2020</v>
      </c>
      <c r="G13" s="242" t="str">
        <f t="shared" si="9"/>
        <v>12/31/2021</v>
      </c>
      <c r="H13" s="242" t="str">
        <f t="shared" si="9"/>
        <v>12/31/2022</v>
      </c>
      <c r="I13" s="242" t="str">
        <f t="shared" si="9"/>
        <v>12/31/2023</v>
      </c>
      <c r="J13" s="242" t="str">
        <f>"12/31/"&amp;J8-1</f>
        <v>12/31/2024</v>
      </c>
      <c r="K13" s="242" t="str">
        <f t="shared" ref="K13:T13" si="10">"12/31/"&amp;K8-1</f>
        <v>12/31/2025</v>
      </c>
      <c r="L13" s="242" t="str">
        <f t="shared" si="10"/>
        <v>12/31/2026</v>
      </c>
      <c r="M13" s="242" t="str">
        <f t="shared" si="10"/>
        <v>12/31/2027</v>
      </c>
      <c r="N13" s="242" t="str">
        <f t="shared" si="10"/>
        <v>12/31/2028</v>
      </c>
      <c r="O13" s="242" t="str">
        <f t="shared" si="10"/>
        <v>12/31/2029</v>
      </c>
      <c r="P13" s="242" t="str">
        <f t="shared" si="10"/>
        <v>12/31/2030</v>
      </c>
      <c r="Q13" s="242" t="str">
        <f t="shared" si="10"/>
        <v>12/31/2031</v>
      </c>
      <c r="R13" s="242" t="str">
        <f t="shared" si="10"/>
        <v>12/31/2032</v>
      </c>
      <c r="S13" s="242" t="str">
        <f t="shared" si="10"/>
        <v>12/31/2033</v>
      </c>
      <c r="T13" s="242" t="str">
        <f t="shared" si="10"/>
        <v>12/31/2034</v>
      </c>
    </row>
    <row r="14" spans="1:20" hidden="1" outlineLevel="1" x14ac:dyDescent="0.2">
      <c r="E14" s="8" t="s">
        <v>32</v>
      </c>
      <c r="F14" s="242" t="str">
        <f>"12/31/"&amp;F8</f>
        <v>12/31/2021</v>
      </c>
      <c r="G14" s="242" t="str">
        <f t="shared" ref="G14:T14" si="11">"12/31/"&amp;G8</f>
        <v>12/31/2022</v>
      </c>
      <c r="H14" s="242" t="str">
        <f t="shared" si="11"/>
        <v>12/31/2023</v>
      </c>
      <c r="I14" s="242" t="str">
        <f t="shared" si="11"/>
        <v>12/31/2024</v>
      </c>
      <c r="J14" s="242" t="str">
        <f t="shared" si="11"/>
        <v>12/31/2025</v>
      </c>
      <c r="K14" s="242" t="str">
        <f t="shared" si="11"/>
        <v>12/31/2026</v>
      </c>
      <c r="L14" s="242" t="str">
        <f t="shared" si="11"/>
        <v>12/31/2027</v>
      </c>
      <c r="M14" s="242" t="str">
        <f t="shared" si="11"/>
        <v>12/31/2028</v>
      </c>
      <c r="N14" s="242" t="str">
        <f t="shared" si="11"/>
        <v>12/31/2029</v>
      </c>
      <c r="O14" s="242" t="str">
        <f t="shared" si="11"/>
        <v>12/31/2030</v>
      </c>
      <c r="P14" s="242" t="str">
        <f t="shared" si="11"/>
        <v>12/31/2031</v>
      </c>
      <c r="Q14" s="242" t="str">
        <f t="shared" si="11"/>
        <v>12/31/2032</v>
      </c>
      <c r="R14" s="242" t="str">
        <f t="shared" si="11"/>
        <v>12/31/2033</v>
      </c>
      <c r="S14" s="242" t="str">
        <f t="shared" si="11"/>
        <v>12/31/2034</v>
      </c>
      <c r="T14" s="242" t="str">
        <f t="shared" si="11"/>
        <v>12/31/2035</v>
      </c>
    </row>
    <row r="15" spans="1:20" hidden="1" outlineLevel="1" x14ac:dyDescent="0.2">
      <c r="E15" s="8" t="s">
        <v>33</v>
      </c>
      <c r="F15" s="1">
        <v>365</v>
      </c>
      <c r="G15" s="1">
        <v>365</v>
      </c>
      <c r="H15" s="1">
        <v>365</v>
      </c>
      <c r="I15" s="1">
        <v>366</v>
      </c>
      <c r="J15" s="1">
        <v>365</v>
      </c>
      <c r="K15" s="1">
        <v>365</v>
      </c>
      <c r="L15" s="1">
        <v>365</v>
      </c>
      <c r="M15" s="1">
        <v>366</v>
      </c>
      <c r="N15" s="1">
        <v>365</v>
      </c>
      <c r="O15" s="1">
        <v>365</v>
      </c>
      <c r="P15" s="1">
        <v>365</v>
      </c>
      <c r="Q15" s="1">
        <v>366</v>
      </c>
      <c r="R15" s="1">
        <v>365</v>
      </c>
      <c r="S15" s="1">
        <v>365</v>
      </c>
      <c r="T15" s="1">
        <v>365</v>
      </c>
    </row>
    <row r="17" spans="3:21" x14ac:dyDescent="0.2">
      <c r="C17" s="7" t="s">
        <v>34</v>
      </c>
    </row>
    <row r="18" spans="3:21" x14ac:dyDescent="0.2">
      <c r="C18" s="7"/>
    </row>
    <row r="19" spans="3:21" x14ac:dyDescent="0.2">
      <c r="C19" s="29" t="s">
        <v>35</v>
      </c>
      <c r="D19" s="13"/>
      <c r="E19" s="13"/>
      <c r="F19" s="144">
        <f>Model!C9</f>
        <v>6372.8</v>
      </c>
      <c r="G19" s="144">
        <f>Model!D9</f>
        <v>7806.6</v>
      </c>
      <c r="H19" s="144">
        <f>Model!E9</f>
        <v>8096.4</v>
      </c>
      <c r="I19" s="144">
        <f>Model!F9</f>
        <v>8359.4000000000015</v>
      </c>
      <c r="J19" s="144">
        <f>Model!G9</f>
        <v>8745.9</v>
      </c>
      <c r="K19" s="25">
        <f>Model!H9</f>
        <v>9287.8209999999999</v>
      </c>
      <c r="L19" s="25">
        <f>Model!I9</f>
        <v>9742.0358699999997</v>
      </c>
      <c r="M19" s="25">
        <f>Model!J9</f>
        <v>10178.1304894</v>
      </c>
      <c r="N19" s="25">
        <f>Model!K9</f>
        <v>10763.806371344001</v>
      </c>
      <c r="O19" s="25">
        <f>Model!L9</f>
        <v>11176.604809676963</v>
      </c>
      <c r="P19" s="25">
        <f>Model!M9</f>
        <v>11563.130522977346</v>
      </c>
      <c r="Q19" s="25">
        <f>Model!N9</f>
        <v>12156.005206822405</v>
      </c>
      <c r="R19" s="25">
        <f>Model!O9</f>
        <v>12511.195859087278</v>
      </c>
      <c r="S19" s="25">
        <f>Model!P9</f>
        <v>13044.196721083523</v>
      </c>
      <c r="T19" s="25">
        <f>Model!Q9</f>
        <v>13452.234209000329</v>
      </c>
    </row>
    <row r="20" spans="3:21" x14ac:dyDescent="0.2">
      <c r="C20" s="1" t="s">
        <v>36</v>
      </c>
      <c r="G20" s="24">
        <f>G19/F19-1</f>
        <v>0.2249874466482551</v>
      </c>
      <c r="H20" s="24">
        <f t="shared" ref="H20:T20" si="12">H19/G19-1</f>
        <v>3.7122434862808307E-2</v>
      </c>
      <c r="I20" s="24">
        <f t="shared" si="12"/>
        <v>3.2483572946000905E-2</v>
      </c>
      <c r="J20" s="24">
        <f t="shared" si="12"/>
        <v>4.6235375744670515E-2</v>
      </c>
      <c r="K20" s="24">
        <f t="shared" si="12"/>
        <v>6.1962862598474722E-2</v>
      </c>
      <c r="L20" s="24">
        <f t="shared" si="12"/>
        <v>4.8904352269493634E-2</v>
      </c>
      <c r="M20" s="24">
        <f t="shared" si="12"/>
        <v>4.4764218200317618E-2</v>
      </c>
      <c r="N20" s="24">
        <f t="shared" si="12"/>
        <v>5.7542579411214323E-2</v>
      </c>
      <c r="O20" s="24">
        <f t="shared" si="12"/>
        <v>3.8350600530304702E-2</v>
      </c>
      <c r="P20" s="24">
        <f t="shared" si="12"/>
        <v>3.4583464288342691E-2</v>
      </c>
      <c r="Q20" s="24">
        <f t="shared" si="12"/>
        <v>5.1272852335874308E-2</v>
      </c>
      <c r="R20" s="24">
        <f t="shared" si="12"/>
        <v>2.9219356706554178E-2</v>
      </c>
      <c r="S20" s="24">
        <f t="shared" si="12"/>
        <v>4.2601911759626798E-2</v>
      </c>
      <c r="T20" s="24">
        <f t="shared" si="12"/>
        <v>3.1281151046832267E-2</v>
      </c>
    </row>
    <row r="22" spans="3:21" x14ac:dyDescent="0.2">
      <c r="C22" s="30" t="str">
        <f>Model!B10</f>
        <v>Segment Operating Expenses</v>
      </c>
      <c r="D22" s="14"/>
      <c r="E22" s="14"/>
      <c r="F22" s="144">
        <f>Model!C10</f>
        <v>5788.4000000000005</v>
      </c>
      <c r="G22" s="144">
        <f>Model!D10</f>
        <v>7169.7000000000007</v>
      </c>
      <c r="H22" s="144">
        <f>Model!E10</f>
        <v>7456.2</v>
      </c>
      <c r="I22" s="144">
        <f>Model!F10</f>
        <v>7702.3000000000011</v>
      </c>
      <c r="J22" s="144">
        <f>Model!G10</f>
        <v>8058.2</v>
      </c>
      <c r="K22" s="145">
        <f>Model!H10</f>
        <v>8549.9289050000007</v>
      </c>
      <c r="L22" s="145">
        <f>Model!I10</f>
        <v>8941.7986935499994</v>
      </c>
      <c r="M22" s="145">
        <f>Model!J10</f>
        <v>9312.3273299350003</v>
      </c>
      <c r="N22" s="145">
        <f>Model!K10</f>
        <v>9850.3682572047401</v>
      </c>
      <c r="O22" s="145">
        <f>Model!L10</f>
        <v>10215.666623276022</v>
      </c>
      <c r="P22" s="145">
        <f>Model!M10</f>
        <v>10568.116100828811</v>
      </c>
      <c r="Q22" s="145">
        <f>Model!N10</f>
        <v>11103.762044132893</v>
      </c>
      <c r="R22" s="145">
        <f>Model!O10</f>
        <v>11426.526995072436</v>
      </c>
      <c r="S22" s="145">
        <f>Model!P10</f>
        <v>11907.768178170358</v>
      </c>
      <c r="T22" s="145">
        <f>Model!Q10</f>
        <v>12278.02695087165</v>
      </c>
    </row>
    <row r="23" spans="3:21" x14ac:dyDescent="0.2">
      <c r="C23" s="1" t="str">
        <f>Model!B50</f>
        <v>Operating Expense growth</v>
      </c>
      <c r="G23" s="24">
        <f>G22/F22-1</f>
        <v>0.23863243728836991</v>
      </c>
      <c r="H23" s="24">
        <f t="shared" ref="H23" si="13">H22/G22-1</f>
        <v>3.9959830955270004E-2</v>
      </c>
      <c r="I23" s="24">
        <f t="shared" ref="I23" si="14">I22/H22-1</f>
        <v>3.3006088892465479E-2</v>
      </c>
      <c r="J23" s="24">
        <f t="shared" ref="J23" si="15">J22/I22-1</f>
        <v>4.6206977136699301E-2</v>
      </c>
      <c r="K23" s="24">
        <f t="shared" ref="K23" si="16">K22/J22-1</f>
        <v>6.1022176788861238E-2</v>
      </c>
      <c r="L23" s="24">
        <f t="shared" ref="L23" si="17">L22/K22-1</f>
        <v>4.5833104918665768E-2</v>
      </c>
      <c r="M23" s="24">
        <f t="shared" ref="M23" si="18">M22/L22-1</f>
        <v>4.1437819065673454E-2</v>
      </c>
      <c r="N23" s="24">
        <f t="shared" ref="N23" si="19">N22/M22-1</f>
        <v>5.7777278247101327E-2</v>
      </c>
      <c r="O23" s="24">
        <f t="shared" ref="O23" si="20">O22/N22-1</f>
        <v>3.7084742065769616E-2</v>
      </c>
      <c r="P23" s="24">
        <f t="shared" ref="P23" si="21">P22/O22-1</f>
        <v>3.4500878948980684E-2</v>
      </c>
      <c r="Q23" s="24">
        <f t="shared" ref="Q23" si="22">Q22/P22-1</f>
        <v>5.0685092611924887E-2</v>
      </c>
      <c r="R23" s="24">
        <f t="shared" ref="R23" si="23">R22/Q22-1</f>
        <v>2.9068071673067575E-2</v>
      </c>
      <c r="S23" s="24">
        <f t="shared" ref="S23" si="24">S22/R22-1</f>
        <v>4.2116137589790048E-2</v>
      </c>
      <c r="T23" s="24">
        <f t="shared" ref="T23" si="25">T22/S22-1</f>
        <v>3.1093884862493537E-2</v>
      </c>
    </row>
    <row r="24" spans="3:21" x14ac:dyDescent="0.2">
      <c r="C24" s="1" t="str">
        <f>Model!B55</f>
        <v>Operating Margin</v>
      </c>
      <c r="F24" s="24">
        <f>1-F22/F19</f>
        <v>9.1702234496610524E-2</v>
      </c>
      <c r="G24" s="24">
        <f t="shared" ref="G24:J24" si="26">1-G22/G19</f>
        <v>8.1584812850664767E-2</v>
      </c>
      <c r="H24" s="24">
        <f t="shared" si="26"/>
        <v>7.9072180228249578E-2</v>
      </c>
      <c r="I24" s="24">
        <f t="shared" si="26"/>
        <v>7.8606120056463391E-2</v>
      </c>
      <c r="J24" s="24">
        <f t="shared" si="26"/>
        <v>7.8631130015207162E-2</v>
      </c>
      <c r="K24" s="24">
        <f t="shared" ref="K24:T24" si="27">K22/K19</f>
        <v>0.92055272221546913</v>
      </c>
      <c r="L24" s="24">
        <f t="shared" si="27"/>
        <v>0.91785729521749337</v>
      </c>
      <c r="M24" s="24">
        <f t="shared" si="27"/>
        <v>0.91493495191806695</v>
      </c>
      <c r="N24" s="24">
        <f t="shared" si="27"/>
        <v>0.9151380020574259</v>
      </c>
      <c r="O24" s="24">
        <f t="shared" si="27"/>
        <v>0.91402235269435861</v>
      </c>
      <c r="P24" s="24">
        <f t="shared" si="27"/>
        <v>0.91394939111243956</v>
      </c>
      <c r="Q24" s="24">
        <f t="shared" si="27"/>
        <v>0.91343840803071108</v>
      </c>
      <c r="R24" s="24">
        <f t="shared" si="27"/>
        <v>0.91330414164789753</v>
      </c>
      <c r="S24" s="24">
        <f t="shared" si="27"/>
        <v>0.91287861052598673</v>
      </c>
      <c r="T24" s="24">
        <f t="shared" si="27"/>
        <v>0.91271284458138069</v>
      </c>
    </row>
    <row r="25" spans="3:21" x14ac:dyDescent="0.2"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3:21" x14ac:dyDescent="0.2">
      <c r="C26" s="29" t="str">
        <f>Model!B13</f>
        <v>Corporate expense (unallocated)</v>
      </c>
      <c r="D26" s="13"/>
      <c r="E26" s="13"/>
      <c r="F26" s="144">
        <f>Model!C13</f>
        <v>-374.6</v>
      </c>
      <c r="G26" s="144">
        <f>Model!D13</f>
        <v>-284.5</v>
      </c>
      <c r="H26" s="144">
        <f>Model!E13</f>
        <v>-226.6</v>
      </c>
      <c r="I26" s="144">
        <f>Model!F13</f>
        <v>-433.1</v>
      </c>
      <c r="J26" s="144">
        <f>Model!G13</f>
        <v>-370.5</v>
      </c>
      <c r="K26" s="25">
        <f>K27*K$19</f>
        <v>-371.51283999999998</v>
      </c>
      <c r="L26" s="25">
        <f t="shared" ref="L26:T26" si="28">L27*L$19</f>
        <v>-389.68143479999998</v>
      </c>
      <c r="M26" s="25">
        <f t="shared" si="28"/>
        <v>-407.12521957600001</v>
      </c>
      <c r="N26" s="25">
        <f t="shared" si="28"/>
        <v>-430.55225485376002</v>
      </c>
      <c r="O26" s="25">
        <f t="shared" si="28"/>
        <v>-447.06419238707849</v>
      </c>
      <c r="P26" s="25">
        <f t="shared" si="28"/>
        <v>-462.52522091909384</v>
      </c>
      <c r="Q26" s="25">
        <f t="shared" si="28"/>
        <v>-486.24020827289621</v>
      </c>
      <c r="R26" s="25">
        <f t="shared" si="28"/>
        <v>-500.44783436349115</v>
      </c>
      <c r="S26" s="25">
        <f t="shared" si="28"/>
        <v>-521.76786884334092</v>
      </c>
      <c r="T26" s="25">
        <f t="shared" si="28"/>
        <v>-538.08936836001317</v>
      </c>
    </row>
    <row r="27" spans="3:21" x14ac:dyDescent="0.2">
      <c r="C27" s="1" t="s">
        <v>317</v>
      </c>
      <c r="F27" s="57">
        <f>F26/F$19</f>
        <v>-5.8781069545568672E-2</v>
      </c>
      <c r="G27" s="57">
        <f t="shared" ref="G27:J27" si="29">G26/G$19</f>
        <v>-3.6443522147926115E-2</v>
      </c>
      <c r="H27" s="57">
        <f t="shared" si="29"/>
        <v>-2.7987747640926833E-2</v>
      </c>
      <c r="I27" s="57">
        <f t="shared" si="29"/>
        <v>-5.1809938512333412E-2</v>
      </c>
      <c r="J27" s="57">
        <f t="shared" si="29"/>
        <v>-4.2362707097039758E-2</v>
      </c>
      <c r="K27" s="42">
        <v>-0.04</v>
      </c>
      <c r="L27" s="42">
        <v>-0.04</v>
      </c>
      <c r="M27" s="42">
        <v>-0.04</v>
      </c>
      <c r="N27" s="42">
        <v>-0.04</v>
      </c>
      <c r="O27" s="42">
        <v>-0.04</v>
      </c>
      <c r="P27" s="42">
        <v>-0.04</v>
      </c>
      <c r="Q27" s="42">
        <v>-0.04</v>
      </c>
      <c r="R27" s="42">
        <v>-0.04</v>
      </c>
      <c r="S27" s="42">
        <v>-0.04</v>
      </c>
      <c r="T27" s="42">
        <v>-0.04</v>
      </c>
      <c r="U27" s="252"/>
    </row>
    <row r="29" spans="3:21" x14ac:dyDescent="0.2">
      <c r="C29" s="1" t="s">
        <v>342</v>
      </c>
      <c r="K29" s="52">
        <f>K30+K67</f>
        <v>51.78</v>
      </c>
      <c r="L29" s="52">
        <f t="shared" ref="L29:T29" si="30">L30+L67</f>
        <v>45.68</v>
      </c>
      <c r="M29" s="52">
        <f t="shared" si="30"/>
        <v>40.28</v>
      </c>
      <c r="N29" s="52">
        <f t="shared" si="30"/>
        <v>38.980000000000004</v>
      </c>
      <c r="O29" s="52">
        <f t="shared" si="30"/>
        <v>33.880000000000003</v>
      </c>
      <c r="P29" s="52">
        <f t="shared" si="30"/>
        <v>31.42</v>
      </c>
      <c r="Q29" s="52">
        <f t="shared" si="30"/>
        <v>34.206000000000003</v>
      </c>
      <c r="R29" s="52">
        <f t="shared" si="30"/>
        <v>32.213400000000007</v>
      </c>
      <c r="S29" s="52">
        <f t="shared" si="30"/>
        <v>34.420060000000007</v>
      </c>
      <c r="T29" s="52">
        <f t="shared" si="30"/>
        <v>32.806054000000003</v>
      </c>
    </row>
    <row r="30" spans="3:21" x14ac:dyDescent="0.2">
      <c r="C30" s="1" t="s">
        <v>354</v>
      </c>
      <c r="F30" s="26">
        <f>Model!C143</f>
        <v>45.000000000000007</v>
      </c>
      <c r="G30" s="26">
        <f>Model!D143</f>
        <v>72.100000000000009</v>
      </c>
      <c r="H30" s="26">
        <f>Model!E143</f>
        <v>76.5</v>
      </c>
      <c r="I30" s="26">
        <f>Model!F143</f>
        <v>56.099999999999994</v>
      </c>
      <c r="J30" s="26">
        <f>Model!G143</f>
        <v>52.499999999999993</v>
      </c>
      <c r="K30" s="257">
        <v>46.5</v>
      </c>
      <c r="L30" s="257">
        <v>40.4</v>
      </c>
      <c r="M30" s="257">
        <v>35</v>
      </c>
      <c r="N30" s="257">
        <v>29.7</v>
      </c>
      <c r="O30" s="257">
        <v>24.6</v>
      </c>
      <c r="P30" s="258">
        <f>O30+O30*P31</f>
        <v>22.14</v>
      </c>
      <c r="Q30" s="258">
        <f t="shared" ref="Q30:T30" si="31">P30+P30*Q31</f>
        <v>19.926000000000002</v>
      </c>
      <c r="R30" s="258">
        <f t="shared" si="31"/>
        <v>17.933400000000002</v>
      </c>
      <c r="S30" s="258">
        <f t="shared" si="31"/>
        <v>16.140060000000002</v>
      </c>
      <c r="T30" s="258">
        <f t="shared" si="31"/>
        <v>14.526054000000002</v>
      </c>
      <c r="U30" s="1" t="s">
        <v>420</v>
      </c>
    </row>
    <row r="31" spans="3:21" x14ac:dyDescent="0.2">
      <c r="C31" s="1" t="s">
        <v>336</v>
      </c>
      <c r="F31" s="24"/>
      <c r="G31" s="24">
        <f>(G30-F30)/F30</f>
        <v>0.6022222222222221</v>
      </c>
      <c r="H31" s="24">
        <f t="shared" ref="H31:O31" si="32">(H30-G30)/G30</f>
        <v>6.1026352288488087E-2</v>
      </c>
      <c r="I31" s="24">
        <f t="shared" si="32"/>
        <v>-0.26666666666666672</v>
      </c>
      <c r="J31" s="24">
        <f t="shared" si="32"/>
        <v>-6.4171122994652441E-2</v>
      </c>
      <c r="K31" s="24">
        <f t="shared" si="32"/>
        <v>-0.11428571428571417</v>
      </c>
      <c r="L31" s="24">
        <f t="shared" si="32"/>
        <v>-0.13118279569892477</v>
      </c>
      <c r="M31" s="24">
        <f t="shared" si="32"/>
        <v>-0.13366336633663364</v>
      </c>
      <c r="N31" s="24">
        <f t="shared" si="32"/>
        <v>-0.15142857142857144</v>
      </c>
      <c r="O31" s="24">
        <f t="shared" si="32"/>
        <v>-0.17171717171717166</v>
      </c>
      <c r="P31" s="54">
        <v>-0.1</v>
      </c>
      <c r="Q31" s="54">
        <v>-0.1</v>
      </c>
      <c r="R31" s="54">
        <v>-0.1</v>
      </c>
      <c r="S31" s="54">
        <v>-0.1</v>
      </c>
      <c r="T31" s="54">
        <v>-0.1</v>
      </c>
      <c r="U31" s="1" t="s">
        <v>421</v>
      </c>
    </row>
    <row r="32" spans="3:21" x14ac:dyDescent="0.2">
      <c r="C32" s="1" t="s">
        <v>37</v>
      </c>
      <c r="F32" s="37">
        <f>Model!C22</f>
        <v>2.1</v>
      </c>
      <c r="G32" s="37">
        <f>Model!D22</f>
        <v>2.4</v>
      </c>
      <c r="H32" s="37">
        <f>Model!E22</f>
        <v>3.9</v>
      </c>
      <c r="I32" s="37">
        <f>Model!F22</f>
        <v>6.5</v>
      </c>
      <c r="J32" s="37">
        <f>Model!G22</f>
        <v>4.5999999999999996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</row>
    <row r="33" spans="3:20" x14ac:dyDescent="0.2">
      <c r="C33" s="1" t="s">
        <v>38</v>
      </c>
      <c r="F33" s="37">
        <f>Model!C23</f>
        <v>0</v>
      </c>
      <c r="G33" s="37">
        <f>Model!D23</f>
        <v>0</v>
      </c>
      <c r="H33" s="37">
        <f>Model!E23</f>
        <v>0</v>
      </c>
      <c r="I33" s="37">
        <f>Model!F23</f>
        <v>0</v>
      </c>
      <c r="J33" s="37">
        <f>Model!G23</f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</row>
    <row r="34" spans="3:20" x14ac:dyDescent="0.2">
      <c r="C34" s="1" t="s">
        <v>39</v>
      </c>
      <c r="F34" s="37" cm="1">
        <f t="array" ref="F34:J34">Model!C27:G27</f>
        <v>0</v>
      </c>
      <c r="G34" s="37">
        <v>0</v>
      </c>
      <c r="H34" s="37">
        <v>0</v>
      </c>
      <c r="I34" s="37">
        <v>0</v>
      </c>
      <c r="J34" s="37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</row>
    <row r="35" spans="3:20" x14ac:dyDescent="0.2">
      <c r="C35" s="1" t="s">
        <v>40</v>
      </c>
      <c r="F35" s="18">
        <f>Model!C29</f>
        <v>0.29187124931805791</v>
      </c>
      <c r="G35" s="18">
        <f>Model!D29</f>
        <v>0.25374561683136765</v>
      </c>
      <c r="H35" s="18">
        <f>Model!E29</f>
        <v>0.24108761329305126</v>
      </c>
      <c r="I35" s="18">
        <f>Model!F29</f>
        <v>0.38810408921933087</v>
      </c>
      <c r="J35" s="18">
        <f>Model!G29</f>
        <v>0.2613636363636363</v>
      </c>
      <c r="K35" s="59">
        <v>0.25</v>
      </c>
      <c r="L35" s="59">
        <f t="shared" ref="L35:T35" si="33">K35</f>
        <v>0.25</v>
      </c>
      <c r="M35" s="59">
        <f t="shared" si="33"/>
        <v>0.25</v>
      </c>
      <c r="N35" s="59">
        <f t="shared" si="33"/>
        <v>0.25</v>
      </c>
      <c r="O35" s="59">
        <f t="shared" si="33"/>
        <v>0.25</v>
      </c>
      <c r="P35" s="59">
        <f t="shared" si="33"/>
        <v>0.25</v>
      </c>
      <c r="Q35" s="59">
        <f t="shared" si="33"/>
        <v>0.25</v>
      </c>
      <c r="R35" s="59">
        <f t="shared" si="33"/>
        <v>0.25</v>
      </c>
      <c r="S35" s="59">
        <f t="shared" si="33"/>
        <v>0.25</v>
      </c>
      <c r="T35" s="59">
        <f t="shared" si="33"/>
        <v>0.25</v>
      </c>
    </row>
    <row r="36" spans="3:20" x14ac:dyDescent="0.2">
      <c r="C36" s="1" t="s">
        <v>41</v>
      </c>
      <c r="F36" s="18">
        <f>Model!C30</f>
        <v>0.2</v>
      </c>
      <c r="G36" s="18">
        <f>Model!D30</f>
        <v>0.2</v>
      </c>
      <c r="H36" s="18">
        <f>Model!E30</f>
        <v>0.2</v>
      </c>
      <c r="I36" s="18">
        <f>Model!F30</f>
        <v>0.2</v>
      </c>
      <c r="J36" s="18">
        <f>Model!G30</f>
        <v>0.2</v>
      </c>
      <c r="K36" s="59">
        <v>0.2</v>
      </c>
      <c r="L36" s="59">
        <v>0.2</v>
      </c>
      <c r="M36" s="59">
        <v>0.2</v>
      </c>
      <c r="N36" s="59">
        <v>0.2</v>
      </c>
      <c r="O36" s="59">
        <v>0.2</v>
      </c>
      <c r="P36" s="59">
        <v>0.2</v>
      </c>
      <c r="Q36" s="59">
        <v>0.2</v>
      </c>
      <c r="R36" s="59">
        <v>0.2</v>
      </c>
      <c r="S36" s="59">
        <v>0.2</v>
      </c>
      <c r="T36" s="59">
        <v>0.2</v>
      </c>
    </row>
    <row r="38" spans="3:20" x14ac:dyDescent="0.2">
      <c r="C38" s="29" t="s">
        <v>42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3:20" x14ac:dyDescent="0.2">
      <c r="C39" s="1" t="s">
        <v>43</v>
      </c>
      <c r="F39" s="57">
        <f>Model!C155/Model!C9</f>
        <v>-5.3822495606326883E-3</v>
      </c>
      <c r="G39" s="57">
        <f>Model!D155/Model!D9</f>
        <v>-6.5073143237773159E-3</v>
      </c>
      <c r="H39" s="57">
        <f>Model!E155/Model!E9</f>
        <v>-6.496714589200139E-3</v>
      </c>
      <c r="I39" s="57">
        <f>Model!F155/Model!F9</f>
        <v>-7.1057731416130331E-3</v>
      </c>
      <c r="J39" s="57">
        <f>Model!G155/Model!G9</f>
        <v>-9.0671057295418425E-3</v>
      </c>
      <c r="K39" s="58">
        <v>-7.0000000000000001E-3</v>
      </c>
      <c r="L39" s="58">
        <v>-7.0000000000000001E-3</v>
      </c>
      <c r="M39" s="58">
        <v>-7.0000000000000001E-3</v>
      </c>
      <c r="N39" s="58">
        <v>-7.0000000000000001E-3</v>
      </c>
      <c r="O39" s="58">
        <v>-7.0000000000000001E-3</v>
      </c>
      <c r="P39" s="58">
        <v>-7.0000000000000001E-3</v>
      </c>
      <c r="Q39" s="58">
        <v>-7.0000000000000001E-3</v>
      </c>
      <c r="R39" s="58">
        <v>-7.0000000000000001E-3</v>
      </c>
      <c r="S39" s="58">
        <v>-7.0000000000000001E-3</v>
      </c>
      <c r="T39" s="58">
        <v>-7.0000000000000001E-3</v>
      </c>
    </row>
    <row r="40" spans="3:20" x14ac:dyDescent="0.2">
      <c r="C40" s="1" t="s">
        <v>44</v>
      </c>
      <c r="F40" s="28"/>
      <c r="G40" s="28">
        <f>Model!D142/Model!C71</f>
        <v>0.1690436241610738</v>
      </c>
      <c r="H40" s="28">
        <f>Model!E142/Model!D71</f>
        <v>0.18370739817123857</v>
      </c>
      <c r="I40" s="28">
        <f>Model!F142/Model!E71</f>
        <v>0.20620661494487547</v>
      </c>
      <c r="J40" s="28">
        <f>Model!G142/Model!F71</f>
        <v>0.2107979356887654</v>
      </c>
      <c r="K40" s="58">
        <v>0.2</v>
      </c>
      <c r="L40" s="58">
        <v>0.2</v>
      </c>
      <c r="M40" s="58">
        <v>0.2</v>
      </c>
      <c r="N40" s="58">
        <v>0.2</v>
      </c>
      <c r="O40" s="58">
        <v>0.2</v>
      </c>
      <c r="P40" s="58">
        <v>0.2</v>
      </c>
      <c r="Q40" s="58">
        <v>0.2</v>
      </c>
      <c r="R40" s="58">
        <v>0.2</v>
      </c>
      <c r="S40" s="58">
        <v>0.2</v>
      </c>
      <c r="T40" s="58">
        <v>0.2</v>
      </c>
    </row>
    <row r="41" spans="3:20" x14ac:dyDescent="0.2">
      <c r="C41" s="1" t="s">
        <v>45</v>
      </c>
      <c r="F41" s="28">
        <f>Model!C142/F19</f>
        <v>7.045568666834044E-3</v>
      </c>
      <c r="G41" s="28">
        <f>Model!D142/G19</f>
        <v>5.1622985678784613E-3</v>
      </c>
      <c r="H41" s="28">
        <f>Model!E142/H19</f>
        <v>5.459216441875402E-3</v>
      </c>
      <c r="I41" s="28">
        <f>Model!F142/I19</f>
        <v>6.041103428475727E-3</v>
      </c>
      <c r="J41" s="28">
        <f>Model!G142/J19</f>
        <v>6.0714163207903132E-3</v>
      </c>
      <c r="K41" s="28">
        <f>Model!H142/K19</f>
        <v>5.8657461206455203E-3</v>
      </c>
      <c r="L41" s="28">
        <f>Model!I142/L19</f>
        <v>5.9387727089496847E-3</v>
      </c>
      <c r="M41" s="28">
        <f>Model!J142/M19</f>
        <v>5.9623065501677244E-3</v>
      </c>
      <c r="N41" s="28">
        <f>Model!K142/N19</f>
        <v>5.8902635816561804E-3</v>
      </c>
      <c r="O41" s="28">
        <f>Model!L142/O19</f>
        <v>5.999134144454913E-3</v>
      </c>
      <c r="P41" s="28">
        <f>Model!M142/P19</f>
        <v>6.0209782550907937E-3</v>
      </c>
      <c r="Q41" s="28">
        <f>Model!N142/Q19</f>
        <v>5.9253927538560928E-3</v>
      </c>
      <c r="R41" s="28">
        <f>Model!O142/R19</f>
        <v>6.0523585190719025E-3</v>
      </c>
      <c r="S41" s="28">
        <f>Model!P142/S19</f>
        <v>5.9746720884516907E-3</v>
      </c>
      <c r="T41" s="28">
        <f>Model!Q142/T19</f>
        <v>6.0402583090299654E-3</v>
      </c>
    </row>
    <row r="42" spans="3:20" x14ac:dyDescent="0.2">
      <c r="C42" s="1" t="s">
        <v>46</v>
      </c>
      <c r="F42" s="28">
        <f>Model!C38/Model!C9</f>
        <v>-5.2567160431835295E-3</v>
      </c>
      <c r="G42" s="28">
        <f>Model!D38/Model!D9</f>
        <v>-3.9069505290395302E-3</v>
      </c>
      <c r="H42" s="28">
        <f>Model!E38/Model!E9</f>
        <v>-3.767106368262438E-3</v>
      </c>
      <c r="I42" s="28">
        <f>Model!F38/Model!F9</f>
        <v>-3.5887743139459763E-3</v>
      </c>
      <c r="J42" s="28">
        <f>Model!G38/Model!G9</f>
        <v>-4.3448930355938211E-3</v>
      </c>
      <c r="K42" s="58">
        <v>-3.5000000000000001E-3</v>
      </c>
      <c r="L42" s="58">
        <v>-3.5000000000000001E-3</v>
      </c>
      <c r="M42" s="58">
        <v>-3.5000000000000001E-3</v>
      </c>
      <c r="N42" s="58">
        <v>-3.5000000000000001E-3</v>
      </c>
      <c r="O42" s="58">
        <v>-3.5000000000000001E-3</v>
      </c>
      <c r="P42" s="58">
        <v>-3.5000000000000001E-3</v>
      </c>
      <c r="Q42" s="58">
        <v>-3.5000000000000001E-3</v>
      </c>
      <c r="R42" s="58">
        <v>-3.5000000000000001E-3</v>
      </c>
      <c r="S42" s="58">
        <v>-3.5000000000000001E-3</v>
      </c>
      <c r="T42" s="58">
        <v>-3.5000000000000001E-3</v>
      </c>
    </row>
    <row r="43" spans="3:20" x14ac:dyDescent="0.2">
      <c r="C43" s="1" t="s">
        <v>47</v>
      </c>
      <c r="F43" s="28">
        <f>Model!C21/Model!C199</f>
        <v>-2.7632850241545895E-2</v>
      </c>
      <c r="G43" s="28">
        <f>Model!D21/Model!D199</f>
        <v>-2.9111772205694858E-2</v>
      </c>
      <c r="H43" s="28">
        <f>Model!E21/Model!E199</f>
        <v>-5.6493684788577705E-2</v>
      </c>
      <c r="I43" s="28">
        <f>Model!F21/Model!F199</f>
        <v>-5.7748488348393232E-2</v>
      </c>
      <c r="J43" s="28">
        <f>Model!G21/Model!G199</f>
        <v>-5.692689264202197E-2</v>
      </c>
      <c r="K43" s="58">
        <v>-5.5E-2</v>
      </c>
      <c r="L43" s="58">
        <v>-5.5E-2</v>
      </c>
      <c r="M43" s="58">
        <v>-5.5E-2</v>
      </c>
      <c r="N43" s="58">
        <v>-5.5E-2</v>
      </c>
      <c r="O43" s="58">
        <v>-5.5E-2</v>
      </c>
      <c r="P43" s="58">
        <v>-5.5E-2</v>
      </c>
      <c r="Q43" s="58">
        <v>-5.5E-2</v>
      </c>
      <c r="R43" s="58">
        <v>-5.5E-2</v>
      </c>
      <c r="S43" s="58">
        <v>-5.5E-2</v>
      </c>
      <c r="T43" s="58">
        <v>-5.5E-2</v>
      </c>
    </row>
    <row r="44" spans="3:20" x14ac:dyDescent="0.2">
      <c r="C44" s="1" t="s">
        <v>48</v>
      </c>
      <c r="F44" s="28">
        <f>Model!C87/Model!C9</f>
        <v>0</v>
      </c>
      <c r="G44" s="28">
        <f>Model!D87/Model!D9</f>
        <v>0</v>
      </c>
      <c r="H44" s="28">
        <f>Model!E87/Model!E9</f>
        <v>1.1128402746899857E-2</v>
      </c>
      <c r="I44" s="28">
        <f>Model!F87/Model!F9</f>
        <v>7.6201641266119566E-3</v>
      </c>
      <c r="J44" s="28">
        <f>Model!G87/Model!G9</f>
        <v>8.5411449936541699E-3</v>
      </c>
      <c r="K44" s="58">
        <v>0.01</v>
      </c>
      <c r="L44" s="58">
        <f t="shared" ref="L44:T44" si="34">K44</f>
        <v>0.01</v>
      </c>
      <c r="M44" s="58">
        <f t="shared" si="34"/>
        <v>0.01</v>
      </c>
      <c r="N44" s="58">
        <f t="shared" si="34"/>
        <v>0.01</v>
      </c>
      <c r="O44" s="58">
        <f t="shared" si="34"/>
        <v>0.01</v>
      </c>
      <c r="P44" s="58">
        <f t="shared" si="34"/>
        <v>0.01</v>
      </c>
      <c r="Q44" s="58">
        <f t="shared" si="34"/>
        <v>0.01</v>
      </c>
      <c r="R44" s="58">
        <f t="shared" si="34"/>
        <v>0.01</v>
      </c>
      <c r="S44" s="58">
        <f t="shared" si="34"/>
        <v>0.01</v>
      </c>
      <c r="T44" s="58">
        <f t="shared" si="34"/>
        <v>0.01</v>
      </c>
    </row>
    <row r="45" spans="3:20" x14ac:dyDescent="0.2">
      <c r="C45" s="1" t="s">
        <v>309</v>
      </c>
      <c r="F45" s="286">
        <f>Model!C16</f>
        <v>0</v>
      </c>
      <c r="G45" s="286">
        <f>Model!D16</f>
        <v>0</v>
      </c>
      <c r="H45" s="286">
        <f>Model!E16</f>
        <v>0</v>
      </c>
      <c r="I45" s="286">
        <f>Model!F16</f>
        <v>0</v>
      </c>
      <c r="J45" s="286">
        <f>Model!G16</f>
        <v>-13.4</v>
      </c>
      <c r="K45" s="285">
        <v>0</v>
      </c>
      <c r="L45" s="285">
        <v>0</v>
      </c>
      <c r="M45" s="285">
        <v>0</v>
      </c>
      <c r="N45" s="285">
        <v>0</v>
      </c>
      <c r="O45" s="285">
        <v>0</v>
      </c>
      <c r="P45" s="285">
        <v>0</v>
      </c>
      <c r="Q45" s="285">
        <v>0</v>
      </c>
      <c r="R45" s="285">
        <v>0</v>
      </c>
      <c r="S45" s="285">
        <v>0</v>
      </c>
      <c r="T45" s="285">
        <v>0</v>
      </c>
    </row>
    <row r="47" spans="3:20" x14ac:dyDescent="0.2">
      <c r="C47" s="29" t="s">
        <v>49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3:20" x14ac:dyDescent="0.2">
      <c r="C48" s="1" t="s">
        <v>50</v>
      </c>
      <c r="G48" s="28">
        <f>Model!D67/Model!D9</f>
        <v>0.16379729972074911</v>
      </c>
      <c r="H48" s="28">
        <f>Model!E67/Model!E9</f>
        <v>0.16859344894026976</v>
      </c>
      <c r="I48" s="28">
        <f>Model!F67/Model!F9</f>
        <v>0.16557408426442086</v>
      </c>
      <c r="J48" s="28">
        <f>Model!G67/Model!G9</f>
        <v>0.16820453012268605</v>
      </c>
      <c r="K48" s="58">
        <v>0.16500000000000001</v>
      </c>
      <c r="L48" s="58">
        <f t="shared" ref="L48:T50" si="35">K48</f>
        <v>0.16500000000000001</v>
      </c>
      <c r="M48" s="58">
        <f t="shared" si="35"/>
        <v>0.16500000000000001</v>
      </c>
      <c r="N48" s="58">
        <f t="shared" si="35"/>
        <v>0.16500000000000001</v>
      </c>
      <c r="O48" s="58">
        <f t="shared" si="35"/>
        <v>0.16500000000000001</v>
      </c>
      <c r="P48" s="58">
        <f t="shared" si="35"/>
        <v>0.16500000000000001</v>
      </c>
      <c r="Q48" s="58">
        <f t="shared" si="35"/>
        <v>0.16500000000000001</v>
      </c>
      <c r="R48" s="58">
        <f t="shared" si="35"/>
        <v>0.16500000000000001</v>
      </c>
      <c r="S48" s="58">
        <f t="shared" si="35"/>
        <v>0.16500000000000001</v>
      </c>
      <c r="T48" s="58">
        <f t="shared" si="35"/>
        <v>0.16500000000000001</v>
      </c>
    </row>
    <row r="49" spans="3:20" x14ac:dyDescent="0.2">
      <c r="C49" s="60" t="s">
        <v>51</v>
      </c>
      <c r="D49" s="60"/>
      <c r="E49" s="60"/>
      <c r="F49" s="60"/>
      <c r="G49" s="143">
        <f>Model!C67</f>
        <v>1137.0999999999999</v>
      </c>
      <c r="H49" s="143">
        <f>Model!D67</f>
        <v>1278.7</v>
      </c>
      <c r="I49" s="143">
        <f>Model!E67</f>
        <v>1365</v>
      </c>
      <c r="J49" s="143">
        <f>Model!F67</f>
        <v>1384.1</v>
      </c>
      <c r="K49" s="143">
        <f t="shared" ref="K49:T49" si="36">K48*K19</f>
        <v>1532.4904650000001</v>
      </c>
      <c r="L49" s="143">
        <f t="shared" si="36"/>
        <v>1607.43591855</v>
      </c>
      <c r="M49" s="143">
        <f t="shared" si="36"/>
        <v>1679.3915307510001</v>
      </c>
      <c r="N49" s="143">
        <f t="shared" si="36"/>
        <v>1776.0280512717602</v>
      </c>
      <c r="O49" s="143">
        <f t="shared" si="36"/>
        <v>1844.1397935966988</v>
      </c>
      <c r="P49" s="143">
        <f t="shared" si="36"/>
        <v>1907.9165362912622</v>
      </c>
      <c r="Q49" s="143">
        <f t="shared" si="36"/>
        <v>2005.7408591256969</v>
      </c>
      <c r="R49" s="143">
        <f t="shared" si="36"/>
        <v>2064.3473167494012</v>
      </c>
      <c r="S49" s="143">
        <f t="shared" si="36"/>
        <v>2152.2924589787813</v>
      </c>
      <c r="T49" s="143">
        <f t="shared" si="36"/>
        <v>2219.6186444850546</v>
      </c>
    </row>
    <row r="50" spans="3:20" x14ac:dyDescent="0.2">
      <c r="C50" s="1" t="s">
        <v>318</v>
      </c>
      <c r="G50" s="28">
        <f>G51/(G22+Model!D17)</f>
        <v>4.5822924533782602E-2</v>
      </c>
      <c r="H50" s="28">
        <f>H51/(H22+Model!E17)</f>
        <v>4.1395632075732838E-2</v>
      </c>
      <c r="I50" s="28">
        <f>I51/(I22+Model!F17)</f>
        <v>4.4680499297346445E-2</v>
      </c>
      <c r="J50" s="28">
        <f>J51/(J22+Model!G17)</f>
        <v>5.2223943350298736E-2</v>
      </c>
      <c r="K50" s="58">
        <v>4.7500000000000001E-2</v>
      </c>
      <c r="L50" s="58">
        <f t="shared" si="35"/>
        <v>4.7500000000000001E-2</v>
      </c>
      <c r="M50" s="58">
        <f t="shared" ref="M50" si="37">L50</f>
        <v>4.7500000000000001E-2</v>
      </c>
      <c r="N50" s="58">
        <f t="shared" ref="N50" si="38">M50</f>
        <v>4.7500000000000001E-2</v>
      </c>
      <c r="O50" s="58">
        <f t="shared" ref="O50" si="39">N50</f>
        <v>4.7500000000000001E-2</v>
      </c>
      <c r="P50" s="58">
        <f t="shared" ref="P50" si="40">O50</f>
        <v>4.7500000000000001E-2</v>
      </c>
      <c r="Q50" s="58">
        <f t="shared" ref="Q50" si="41">P50</f>
        <v>4.7500000000000001E-2</v>
      </c>
      <c r="R50" s="58">
        <f t="shared" ref="R50" si="42">Q50</f>
        <v>4.7500000000000001E-2</v>
      </c>
      <c r="S50" s="58">
        <f t="shared" ref="S50" si="43">R50</f>
        <v>4.7500000000000001E-2</v>
      </c>
      <c r="T50" s="58">
        <f t="shared" ref="T50" si="44">S50</f>
        <v>4.7500000000000001E-2</v>
      </c>
    </row>
    <row r="51" spans="3:20" x14ac:dyDescent="0.2">
      <c r="C51" s="60" t="s">
        <v>52</v>
      </c>
      <c r="D51" s="60"/>
      <c r="E51" s="60"/>
      <c r="F51" s="60"/>
      <c r="G51" s="143">
        <f>Model!D83</f>
        <v>315.5</v>
      </c>
      <c r="H51" s="143">
        <f>Model!E83</f>
        <v>299.10000000000002</v>
      </c>
      <c r="I51" s="143">
        <f>Model!F83</f>
        <v>324.3</v>
      </c>
      <c r="J51" s="143">
        <f>Model!G83</f>
        <v>401.2</v>
      </c>
      <c r="K51" s="143">
        <f>K50*(Model!H10+Model!H17)</f>
        <v>386.01521308750006</v>
      </c>
      <c r="L51" s="143">
        <f>L50*(Model!I10+Model!I17)</f>
        <v>404.05576979062499</v>
      </c>
      <c r="M51" s="143">
        <f>M50*(Model!J10+Model!J17)</f>
        <v>421.08380024205252</v>
      </c>
      <c r="N51" s="143">
        <f>N50*(Model!K10+Model!K17)</f>
        <v>445.58971011167154</v>
      </c>
      <c r="O51" s="143">
        <f>O50*(Model!L10+Model!L17)</f>
        <v>462.39931546722482</v>
      </c>
      <c r="P51" s="143">
        <f>P50*(Model!M10+Model!M17)</f>
        <v>478.52311679571159</v>
      </c>
      <c r="Q51" s="143">
        <f>Q50*(Model!N10+Model!N17)</f>
        <v>502.7075022033498</v>
      </c>
      <c r="R51" s="143">
        <f>R50*(Model!O10+Model!O17)</f>
        <v>517.45862363367485</v>
      </c>
      <c r="S51" s="143">
        <f>S50*(Model!P10+Model!P17)</f>
        <v>539.20006184303327</v>
      </c>
      <c r="T51" s="143">
        <f>T50*(Model!Q10+Model!Q17)</f>
        <v>556.08874760430274</v>
      </c>
    </row>
    <row r="52" spans="3:20" x14ac:dyDescent="0.2"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</row>
    <row r="53" spans="3:20" s="28" customFormat="1" x14ac:dyDescent="0.2">
      <c r="C53" s="249" t="s">
        <v>320</v>
      </c>
      <c r="D53" s="250"/>
      <c r="E53" s="250"/>
      <c r="F53" s="250">
        <f>Model!C65/Model!C9</f>
        <v>0</v>
      </c>
      <c r="G53" s="250">
        <f>Model!D65/Model!D9</f>
        <v>0</v>
      </c>
      <c r="H53" s="250">
        <f>Model!E65/Model!E9</f>
        <v>1.7192826441381353E-2</v>
      </c>
      <c r="I53" s="250">
        <f>Model!F65/Model!F9</f>
        <v>1.9391343876354758E-2</v>
      </c>
      <c r="J53" s="250">
        <f>Model!G65/Model!G9</f>
        <v>2.2147520552487452E-2</v>
      </c>
      <c r="K53" s="58">
        <v>0.02</v>
      </c>
      <c r="L53" s="58">
        <v>0.02</v>
      </c>
      <c r="M53" s="58">
        <v>0.02</v>
      </c>
      <c r="N53" s="58">
        <v>0.02</v>
      </c>
      <c r="O53" s="58">
        <v>0.02</v>
      </c>
      <c r="P53" s="58">
        <v>0.02</v>
      </c>
      <c r="Q53" s="58">
        <v>0.02</v>
      </c>
      <c r="R53" s="58">
        <v>0.02</v>
      </c>
      <c r="S53" s="58">
        <v>0.02</v>
      </c>
      <c r="T53" s="58">
        <v>0.02</v>
      </c>
    </row>
    <row r="54" spans="3:20" s="28" customFormat="1" x14ac:dyDescent="0.2">
      <c r="C54" t="s">
        <v>321</v>
      </c>
      <c r="D54" s="250"/>
      <c r="E54" s="250"/>
      <c r="F54" s="250">
        <f>Model!C76/Model!C9</f>
        <v>1.8516193823750941E-3</v>
      </c>
      <c r="G54" s="250">
        <f>Model!D76/Model!D9</f>
        <v>1.8574027105269899E-3</v>
      </c>
      <c r="H54" s="250">
        <f>Model!E76/Model!E9</f>
        <v>3.5571365051133841E-3</v>
      </c>
      <c r="I54" s="250">
        <f>Model!F76/Model!F9</f>
        <v>3.6844749623178691E-3</v>
      </c>
      <c r="J54" s="250">
        <f>Model!G76/Model!G9</f>
        <v>5.5568895139436764E-3</v>
      </c>
      <c r="K54" s="58">
        <v>5.0000000000000001E-3</v>
      </c>
      <c r="L54" s="58">
        <v>5.0000000000000001E-3</v>
      </c>
      <c r="M54" s="58">
        <v>5.0000000000000001E-3</v>
      </c>
      <c r="N54" s="58">
        <v>5.0000000000000001E-3</v>
      </c>
      <c r="O54" s="58">
        <v>5.0000000000000001E-3</v>
      </c>
      <c r="P54" s="58">
        <v>5.0000000000000001E-3</v>
      </c>
      <c r="Q54" s="58">
        <v>5.0000000000000001E-3</v>
      </c>
      <c r="R54" s="58">
        <v>5.0000000000000001E-3</v>
      </c>
      <c r="S54" s="58">
        <v>5.0000000000000001E-3</v>
      </c>
      <c r="T54" s="58">
        <v>5.0000000000000001E-3</v>
      </c>
    </row>
    <row r="56" spans="3:20" x14ac:dyDescent="0.2">
      <c r="C56" s="29" t="s">
        <v>426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3:20" x14ac:dyDescent="0.2">
      <c r="C57" s="1" t="s">
        <v>53</v>
      </c>
      <c r="F57" s="37">
        <f>Model!C68</f>
        <v>201.2</v>
      </c>
      <c r="G57" s="37">
        <f>Model!D68</f>
        <v>209.5</v>
      </c>
      <c r="H57" s="37">
        <f>Model!E68</f>
        <v>137.00000000000006</v>
      </c>
      <c r="I57" s="37">
        <f>Model!F68</f>
        <v>177.90000000000015</v>
      </c>
      <c r="J57" s="37">
        <f>Model!G68</f>
        <v>169.80000000000015</v>
      </c>
      <c r="K57" s="37">
        <f t="shared" ref="K57:T57" si="45">($J$57/$J$19)*K19</f>
        <v>180.32129406922115</v>
      </c>
      <c r="L57" s="37">
        <f t="shared" si="45"/>
        <v>189.1397901560733</v>
      </c>
      <c r="M57" s="37">
        <f t="shared" si="45"/>
        <v>197.60648499298205</v>
      </c>
      <c r="N57" s="37">
        <f t="shared" si="45"/>
        <v>208.9772718478616</v>
      </c>
      <c r="O57" s="37">
        <f t="shared" si="45"/>
        <v>216.99167572041185</v>
      </c>
      <c r="P57" s="37">
        <f t="shared" si="45"/>
        <v>224.49599958855637</v>
      </c>
      <c r="Q57" s="37">
        <f t="shared" si="45"/>
        <v>236.00654982545493</v>
      </c>
      <c r="R57" s="37">
        <f t="shared" si="45"/>
        <v>242.90250938988802</v>
      </c>
      <c r="S57" s="37">
        <f t="shared" si="45"/>
        <v>253.25062066110797</v>
      </c>
      <c r="T57" s="37">
        <f t="shared" si="45"/>
        <v>261.17259157871206</v>
      </c>
    </row>
    <row r="58" spans="3:20" x14ac:dyDescent="0.2">
      <c r="C58" s="1" t="s">
        <v>54</v>
      </c>
      <c r="F58" s="37">
        <f>Model!C77</f>
        <v>131.19999999999962</v>
      </c>
      <c r="G58" s="37">
        <f>Model!D77</f>
        <v>188.39999999999989</v>
      </c>
      <c r="H58" s="37">
        <f>Model!E77</f>
        <v>154.99999999999963</v>
      </c>
      <c r="I58" s="37">
        <f>Model!F77</f>
        <v>167.39999999999972</v>
      </c>
      <c r="J58" s="37">
        <f>Model!G77</f>
        <v>175.5000000000004</v>
      </c>
      <c r="K58" s="37">
        <f>($J$58/$J$19)*K19</f>
        <v>186.37448238603272</v>
      </c>
      <c r="L58" s="37">
        <f t="shared" ref="L58:T58" si="46">($J$58/$J$19)*L19</f>
        <v>195.48900572668379</v>
      </c>
      <c r="M58" s="37">
        <f t="shared" si="46"/>
        <v>204.23991823479619</v>
      </c>
      <c r="N58" s="37">
        <f t="shared" si="46"/>
        <v>215.99240994876186</v>
      </c>
      <c r="O58" s="37">
        <f t="shared" si="46"/>
        <v>224.27584858028462</v>
      </c>
      <c r="P58" s="37">
        <f t="shared" si="46"/>
        <v>232.03208438039869</v>
      </c>
      <c r="Q58" s="37">
        <f t="shared" si="46"/>
        <v>243.92903118001999</v>
      </c>
      <c r="R58" s="37">
        <f t="shared" si="46"/>
        <v>251.05648055315316</v>
      </c>
      <c r="S58" s="37">
        <f t="shared" si="46"/>
        <v>261.75196658436107</v>
      </c>
      <c r="T58" s="37">
        <f t="shared" si="46"/>
        <v>269.9398693878918</v>
      </c>
    </row>
    <row r="59" spans="3:20" x14ac:dyDescent="0.2">
      <c r="C59" s="1" t="s">
        <v>55</v>
      </c>
      <c r="F59" s="37">
        <f>Model!C88</f>
        <v>171.49999999999994</v>
      </c>
      <c r="G59" s="37">
        <f>Model!D88</f>
        <v>171.50000000000006</v>
      </c>
      <c r="H59" s="37">
        <f>Model!E88</f>
        <v>177.00000000000014</v>
      </c>
      <c r="I59" s="37">
        <f>Model!F88</f>
        <v>197.40000000000009</v>
      </c>
      <c r="J59" s="37">
        <f>Model!G88</f>
        <v>201</v>
      </c>
      <c r="K59" s="37">
        <f t="shared" ref="K59:T59" si="47">($J$59/$J$19)*K19</f>
        <v>213.45453538229341</v>
      </c>
      <c r="L59" s="37">
        <f t="shared" si="47"/>
        <v>223.89339117415017</v>
      </c>
      <c r="M59" s="37">
        <f t="shared" si="47"/>
        <v>233.91580379027889</v>
      </c>
      <c r="N59" s="37">
        <f t="shared" si="47"/>
        <v>247.375922505419</v>
      </c>
      <c r="O59" s="37">
        <f t="shared" si="47"/>
        <v>256.86293769023996</v>
      </c>
      <c r="P59" s="37">
        <f t="shared" si="47"/>
        <v>265.74614792284916</v>
      </c>
      <c r="Q59" s="37">
        <f t="shared" si="47"/>
        <v>279.37171092412484</v>
      </c>
      <c r="R59" s="37">
        <f t="shared" si="47"/>
        <v>287.53477259933715</v>
      </c>
      <c r="S59" s="37">
        <f t="shared" si="47"/>
        <v>299.7843036094385</v>
      </c>
      <c r="T59" s="37">
        <f t="shared" si="47"/>
        <v>309.16190169211472</v>
      </c>
    </row>
    <row r="60" spans="3:20" x14ac:dyDescent="0.2">
      <c r="C60" s="1" t="s">
        <v>56</v>
      </c>
      <c r="F60" s="37">
        <f>Model!C94</f>
        <v>547.30000000000007</v>
      </c>
      <c r="G60" s="37">
        <f>Model!D94</f>
        <v>511.59999999999997</v>
      </c>
      <c r="H60" s="37">
        <f>Model!E94</f>
        <v>441.20000000000005</v>
      </c>
      <c r="I60" s="37">
        <f>Model!F94</f>
        <v>497.39999999999992</v>
      </c>
      <c r="J60" s="37">
        <f>Model!G94</f>
        <v>506.39999999999975</v>
      </c>
      <c r="K60" s="37">
        <f>AVERAGE(F60:J60)</f>
        <v>500.77999999999992</v>
      </c>
      <c r="L60" s="37">
        <f>K60</f>
        <v>500.77999999999992</v>
      </c>
      <c r="M60" s="37">
        <f t="shared" ref="M60:T60" si="48">L60</f>
        <v>500.77999999999992</v>
      </c>
      <c r="N60" s="37">
        <f t="shared" si="48"/>
        <v>500.77999999999992</v>
      </c>
      <c r="O60" s="37">
        <f t="shared" si="48"/>
        <v>500.77999999999992</v>
      </c>
      <c r="P60" s="37">
        <f t="shared" si="48"/>
        <v>500.77999999999992</v>
      </c>
      <c r="Q60" s="37">
        <f t="shared" si="48"/>
        <v>500.77999999999992</v>
      </c>
      <c r="R60" s="37">
        <f t="shared" si="48"/>
        <v>500.77999999999992</v>
      </c>
      <c r="S60" s="37">
        <f t="shared" si="48"/>
        <v>500.77999999999992</v>
      </c>
      <c r="T60" s="37">
        <f t="shared" si="48"/>
        <v>500.77999999999992</v>
      </c>
    </row>
    <row r="61" spans="3:20" x14ac:dyDescent="0.2"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3:20" x14ac:dyDescent="0.2">
      <c r="C62" s="29" t="s">
        <v>60</v>
      </c>
      <c r="D62" s="13"/>
      <c r="E62" s="13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3:20" x14ac:dyDescent="0.2">
      <c r="C63" s="1" t="s">
        <v>337</v>
      </c>
      <c r="F63" s="37">
        <f>-F72</f>
        <v>710.1</v>
      </c>
      <c r="G63" s="37">
        <f t="shared" ref="G63:J63" si="49">-G72</f>
        <v>194.6</v>
      </c>
      <c r="H63" s="37">
        <f t="shared" si="49"/>
        <v>0</v>
      </c>
      <c r="I63" s="37">
        <f t="shared" si="49"/>
        <v>114.3</v>
      </c>
      <c r="J63" s="37">
        <f t="shared" si="49"/>
        <v>36.700000000000003</v>
      </c>
      <c r="K63" s="243">
        <f>'Acquisition related'!E5</f>
        <v>264</v>
      </c>
      <c r="L63" s="243">
        <f>'Acquisition related'!F5</f>
        <v>0</v>
      </c>
      <c r="M63" s="243">
        <f>'Acquisition related'!G5</f>
        <v>0</v>
      </c>
      <c r="N63" s="243">
        <f>'Acquisition related'!H5</f>
        <v>200</v>
      </c>
      <c r="O63" s="243">
        <f>'Acquisition related'!I5</f>
        <v>0</v>
      </c>
      <c r="P63" s="243">
        <f>'Acquisition related'!J5</f>
        <v>0</v>
      </c>
      <c r="Q63" s="243">
        <f>'Acquisition related'!K5</f>
        <v>250</v>
      </c>
      <c r="R63" s="243">
        <f>'Acquisition related'!L5</f>
        <v>0</v>
      </c>
      <c r="S63" s="243">
        <f>'Acquisition related'!M5</f>
        <v>200</v>
      </c>
      <c r="T63" s="243">
        <f>'Acquisition related'!N5</f>
        <v>0</v>
      </c>
    </row>
    <row r="64" spans="3:20" x14ac:dyDescent="0.2">
      <c r="C64" t="s">
        <v>338</v>
      </c>
      <c r="F64" s="37"/>
      <c r="G64" s="37"/>
      <c r="H64" s="37"/>
      <c r="I64" s="37"/>
      <c r="J64" s="37"/>
      <c r="K64" s="260">
        <v>0.2</v>
      </c>
      <c r="L64" s="260">
        <v>0.2</v>
      </c>
      <c r="M64" s="260">
        <v>0.2</v>
      </c>
      <c r="N64" s="260">
        <v>0.2</v>
      </c>
      <c r="O64" s="260">
        <v>0.2</v>
      </c>
      <c r="P64" s="260">
        <v>0.2</v>
      </c>
      <c r="Q64" s="260">
        <v>0.2</v>
      </c>
      <c r="R64" s="260">
        <v>0.2</v>
      </c>
      <c r="S64" s="260">
        <v>0.2</v>
      </c>
      <c r="T64" s="260">
        <v>0.2</v>
      </c>
    </row>
    <row r="65" spans="3:20" x14ac:dyDescent="0.2">
      <c r="C65" s="1" t="s">
        <v>339</v>
      </c>
      <c r="F65" s="37"/>
      <c r="G65" s="37"/>
      <c r="H65" s="37"/>
      <c r="I65" s="37"/>
      <c r="J65" s="37"/>
      <c r="K65" s="243">
        <f>K64*K63</f>
        <v>52.800000000000004</v>
      </c>
      <c r="L65" s="243">
        <f t="shared" ref="L65:T65" si="50">L64*L63</f>
        <v>0</v>
      </c>
      <c r="M65" s="243">
        <f t="shared" si="50"/>
        <v>0</v>
      </c>
      <c r="N65" s="243">
        <f t="shared" si="50"/>
        <v>40</v>
      </c>
      <c r="O65" s="243">
        <f t="shared" si="50"/>
        <v>0</v>
      </c>
      <c r="P65" s="243">
        <f t="shared" si="50"/>
        <v>0</v>
      </c>
      <c r="Q65" s="243">
        <f t="shared" si="50"/>
        <v>50</v>
      </c>
      <c r="R65" s="243">
        <f t="shared" si="50"/>
        <v>0</v>
      </c>
      <c r="S65" s="243">
        <f t="shared" si="50"/>
        <v>40</v>
      </c>
      <c r="T65" s="243">
        <f t="shared" si="50"/>
        <v>0</v>
      </c>
    </row>
    <row r="66" spans="3:20" x14ac:dyDescent="0.2">
      <c r="C66" s="1" t="s">
        <v>340</v>
      </c>
      <c r="F66" s="37"/>
      <c r="G66" s="37"/>
      <c r="H66" s="37"/>
      <c r="I66" s="37"/>
      <c r="J66" s="37"/>
      <c r="K66" s="243">
        <f>(1-K64)*K63</f>
        <v>211.20000000000002</v>
      </c>
      <c r="L66" s="243">
        <f t="shared" ref="L66:T66" si="51">(1-L64)*L63</f>
        <v>0</v>
      </c>
      <c r="M66" s="243">
        <f t="shared" si="51"/>
        <v>0</v>
      </c>
      <c r="N66" s="243">
        <f t="shared" si="51"/>
        <v>160</v>
      </c>
      <c r="O66" s="243">
        <f t="shared" si="51"/>
        <v>0</v>
      </c>
      <c r="P66" s="243">
        <f t="shared" si="51"/>
        <v>0</v>
      </c>
      <c r="Q66" s="243">
        <f t="shared" si="51"/>
        <v>200</v>
      </c>
      <c r="R66" s="243">
        <f t="shared" si="51"/>
        <v>0</v>
      </c>
      <c r="S66" s="243">
        <f t="shared" si="51"/>
        <v>160</v>
      </c>
      <c r="T66" s="243">
        <f t="shared" si="51"/>
        <v>0</v>
      </c>
    </row>
    <row r="67" spans="3:20" x14ac:dyDescent="0.2">
      <c r="C67" s="1" t="s">
        <v>341</v>
      </c>
      <c r="F67" s="37"/>
      <c r="G67" s="37"/>
      <c r="H67" s="37"/>
      <c r="I67" s="37"/>
      <c r="J67" s="37"/>
      <c r="K67" s="243">
        <f>J67+K65/10</f>
        <v>5.28</v>
      </c>
      <c r="L67" s="243">
        <f t="shared" ref="L67:T67" si="52">K67+L65/10</f>
        <v>5.28</v>
      </c>
      <c r="M67" s="243">
        <f t="shared" si="52"/>
        <v>5.28</v>
      </c>
      <c r="N67" s="243">
        <f t="shared" si="52"/>
        <v>9.2800000000000011</v>
      </c>
      <c r="O67" s="243">
        <f t="shared" si="52"/>
        <v>9.2800000000000011</v>
      </c>
      <c r="P67" s="243">
        <f t="shared" si="52"/>
        <v>9.2800000000000011</v>
      </c>
      <c r="Q67" s="243">
        <f t="shared" si="52"/>
        <v>14.280000000000001</v>
      </c>
      <c r="R67" s="243">
        <f t="shared" si="52"/>
        <v>14.280000000000001</v>
      </c>
      <c r="S67" s="243">
        <f t="shared" si="52"/>
        <v>18.28</v>
      </c>
      <c r="T67" s="243">
        <f t="shared" si="52"/>
        <v>18.28</v>
      </c>
    </row>
    <row r="68" spans="3:20" x14ac:dyDescent="0.2"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3:20" x14ac:dyDescent="0.2">
      <c r="C69" s="7" t="s">
        <v>57</v>
      </c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3:20" x14ac:dyDescent="0.2">
      <c r="C70" s="29" t="s">
        <v>58</v>
      </c>
      <c r="D70" s="13"/>
      <c r="E70" s="13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3:20" x14ac:dyDescent="0.2">
      <c r="C71" s="1" t="s">
        <v>59</v>
      </c>
      <c r="F71" s="37">
        <f>Model!C156</f>
        <v>4.4000000000000004</v>
      </c>
      <c r="G71" s="37">
        <f>Model!D156</f>
        <v>6</v>
      </c>
      <c r="H71" s="37">
        <f>Model!E156</f>
        <v>2.9</v>
      </c>
      <c r="I71" s="37">
        <f>Model!F156</f>
        <v>1.8</v>
      </c>
      <c r="J71" s="37">
        <f>Model!G156</f>
        <v>0.4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</row>
    <row r="72" spans="3:20" x14ac:dyDescent="0.2">
      <c r="C72" s="1" t="s">
        <v>60</v>
      </c>
      <c r="F72" s="37">
        <f>Model!C159</f>
        <v>-710.1</v>
      </c>
      <c r="G72" s="37">
        <f>Model!D159</f>
        <v>-194.6</v>
      </c>
      <c r="H72" s="37">
        <f>Model!E159</f>
        <v>0</v>
      </c>
      <c r="I72" s="37">
        <f>Model!F159</f>
        <v>-114.3</v>
      </c>
      <c r="J72" s="37">
        <f>Model!G159</f>
        <v>-36.700000000000003</v>
      </c>
      <c r="K72" s="51">
        <f>-K63</f>
        <v>-264</v>
      </c>
      <c r="L72" s="51">
        <f t="shared" ref="L72:T72" si="53">-L63</f>
        <v>0</v>
      </c>
      <c r="M72" s="51">
        <f t="shared" si="53"/>
        <v>0</v>
      </c>
      <c r="N72" s="51">
        <f t="shared" si="53"/>
        <v>-200</v>
      </c>
      <c r="O72" s="51">
        <f t="shared" si="53"/>
        <v>0</v>
      </c>
      <c r="P72" s="51">
        <f t="shared" si="53"/>
        <v>0</v>
      </c>
      <c r="Q72" s="51">
        <f t="shared" si="53"/>
        <v>-250</v>
      </c>
      <c r="R72" s="51">
        <f t="shared" si="53"/>
        <v>0</v>
      </c>
      <c r="S72" s="51">
        <f t="shared" si="53"/>
        <v>-200</v>
      </c>
      <c r="T72" s="51">
        <f t="shared" si="53"/>
        <v>0</v>
      </c>
    </row>
    <row r="73" spans="3:20" x14ac:dyDescent="0.2">
      <c r="C73" s="1" t="s">
        <v>61</v>
      </c>
      <c r="F73" s="37">
        <f>Model!C157</f>
        <v>0</v>
      </c>
      <c r="G73" s="37">
        <f>Model!D157</f>
        <v>-2.1</v>
      </c>
      <c r="H73" s="37">
        <f>Model!E157</f>
        <v>-12.4</v>
      </c>
      <c r="I73" s="37">
        <f>Model!F157</f>
        <v>0</v>
      </c>
      <c r="J73" s="37">
        <f>Model!G157</f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</row>
    <row r="74" spans="3:20" x14ac:dyDescent="0.2">
      <c r="C74" s="1" t="s">
        <v>62</v>
      </c>
      <c r="F74" s="37">
        <f>Model!C158</f>
        <v>0</v>
      </c>
      <c r="G74" s="37">
        <f>Model!D158</f>
        <v>0</v>
      </c>
      <c r="H74" s="37">
        <f>Model!E158</f>
        <v>0</v>
      </c>
      <c r="I74" s="37">
        <f>Model!F158</f>
        <v>0</v>
      </c>
      <c r="J74" s="37">
        <f>Model!G158</f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</row>
    <row r="75" spans="3:20" x14ac:dyDescent="0.2">
      <c r="C75" t="s">
        <v>322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</row>
    <row r="76" spans="3:20" x14ac:dyDescent="0.2">
      <c r="C76" s="1" t="s">
        <v>38</v>
      </c>
      <c r="F76" s="37">
        <f>Model!C160</f>
        <v>0</v>
      </c>
      <c r="G76" s="37">
        <f>Model!D160</f>
        <v>0</v>
      </c>
      <c r="H76" s="37">
        <f>Model!E160</f>
        <v>0</v>
      </c>
      <c r="I76" s="37">
        <f>Model!F160</f>
        <v>0</v>
      </c>
      <c r="J76" s="37">
        <f>Model!G160</f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0</v>
      </c>
    </row>
    <row r="77" spans="3:20" x14ac:dyDescent="0.2">
      <c r="C77" s="29" t="s">
        <v>63</v>
      </c>
      <c r="D77" s="13"/>
      <c r="E77" s="13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3:20" x14ac:dyDescent="0.2">
      <c r="C78" s="1" t="s">
        <v>64</v>
      </c>
      <c r="F78" s="37"/>
      <c r="G78" s="225"/>
      <c r="H78" s="225"/>
      <c r="I78" s="225"/>
      <c r="J78" s="225"/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</row>
    <row r="79" spans="3:20" x14ac:dyDescent="0.2">
      <c r="C79" s="1" t="s">
        <v>65</v>
      </c>
      <c r="F79" s="37">
        <f>Model!C203</f>
        <v>0</v>
      </c>
      <c r="G79" s="225">
        <f>Model!D203</f>
        <v>42.15</v>
      </c>
      <c r="H79" s="225">
        <f>Model!E203</f>
        <v>41.06</v>
      </c>
      <c r="I79" s="225">
        <f>Model!F203</f>
        <v>47.86</v>
      </c>
      <c r="J79" s="225">
        <f>Model!G203</f>
        <v>47.35</v>
      </c>
      <c r="K79" s="225">
        <v>40</v>
      </c>
      <c r="L79" s="225">
        <f>K79*1.075</f>
        <v>43</v>
      </c>
      <c r="M79" s="225">
        <f t="shared" ref="M79:T79" si="54">L79*1.075</f>
        <v>46.225000000000001</v>
      </c>
      <c r="N79" s="225">
        <f t="shared" si="54"/>
        <v>49.691874999999996</v>
      </c>
      <c r="O79" s="225">
        <f t="shared" si="54"/>
        <v>53.418765624999992</v>
      </c>
      <c r="P79" s="225">
        <f t="shared" si="54"/>
        <v>57.425173046874988</v>
      </c>
      <c r="Q79" s="225">
        <f t="shared" si="54"/>
        <v>61.732061025390607</v>
      </c>
      <c r="R79" s="225">
        <f t="shared" si="54"/>
        <v>66.361965602294902</v>
      </c>
      <c r="S79" s="225">
        <f t="shared" si="54"/>
        <v>71.339113022467018</v>
      </c>
      <c r="T79" s="225">
        <f t="shared" si="54"/>
        <v>76.689546499152044</v>
      </c>
    </row>
    <row r="80" spans="3:20" x14ac:dyDescent="0.2">
      <c r="C80" s="1" t="s">
        <v>66</v>
      </c>
      <c r="F80" s="37">
        <f>Model!C204</f>
        <v>0</v>
      </c>
      <c r="G80" s="37">
        <f>Model!D204</f>
        <v>0</v>
      </c>
      <c r="H80" s="37">
        <f>Model!E204</f>
        <v>0</v>
      </c>
      <c r="I80" s="37">
        <f>Model!F204</f>
        <v>0</v>
      </c>
      <c r="J80" s="37">
        <f>Model!G204</f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6">
        <v>0</v>
      </c>
      <c r="T80" s="56">
        <v>0</v>
      </c>
    </row>
    <row r="81" spans="3:20" x14ac:dyDescent="0.2">
      <c r="C81" s="1" t="s">
        <v>67</v>
      </c>
      <c r="F81" s="225">
        <f>Model!C205</f>
        <v>0</v>
      </c>
      <c r="G81" s="225">
        <f>Model!D205</f>
        <v>2.2999999999999998</v>
      </c>
      <c r="H81" s="225">
        <f>Model!E205</f>
        <v>3.3</v>
      </c>
      <c r="I81" s="225">
        <f>Model!F205</f>
        <v>1.17</v>
      </c>
      <c r="J81" s="225">
        <f>Model!G205</f>
        <v>2.56</v>
      </c>
      <c r="K81" s="253">
        <v>1.5</v>
      </c>
      <c r="L81" s="253">
        <v>2.5</v>
      </c>
      <c r="M81" s="253">
        <v>2.5</v>
      </c>
      <c r="N81" s="253">
        <v>1.5</v>
      </c>
      <c r="O81" s="253">
        <v>2.5</v>
      </c>
      <c r="P81" s="253">
        <v>2.5</v>
      </c>
      <c r="Q81" s="253">
        <v>1.5</v>
      </c>
      <c r="R81" s="253">
        <v>2</v>
      </c>
      <c r="S81" s="253">
        <v>2</v>
      </c>
      <c r="T81" s="253">
        <v>1.5</v>
      </c>
    </row>
    <row r="82" spans="3:20" x14ac:dyDescent="0.2">
      <c r="C82" s="1" t="s">
        <v>68</v>
      </c>
      <c r="F82" s="37">
        <f>Model!C168</f>
        <v>0</v>
      </c>
      <c r="G82" s="37">
        <f>Model!D168</f>
        <v>0</v>
      </c>
      <c r="H82" s="37">
        <f>Model!E168</f>
        <v>0</v>
      </c>
      <c r="I82" s="37">
        <f>Model!F168</f>
        <v>0</v>
      </c>
      <c r="J82" s="37">
        <f>Model!G168</f>
        <v>0</v>
      </c>
      <c r="K82" s="51">
        <f>K78*K80</f>
        <v>0</v>
      </c>
      <c r="L82" s="51">
        <f t="shared" ref="L82:T82" si="55">L78*L80</f>
        <v>0</v>
      </c>
      <c r="M82" s="51">
        <f t="shared" si="55"/>
        <v>0</v>
      </c>
      <c r="N82" s="51">
        <f t="shared" si="55"/>
        <v>0</v>
      </c>
      <c r="O82" s="51">
        <f t="shared" si="55"/>
        <v>0</v>
      </c>
      <c r="P82" s="51">
        <f t="shared" si="55"/>
        <v>0</v>
      </c>
      <c r="Q82" s="51">
        <f t="shared" si="55"/>
        <v>0</v>
      </c>
      <c r="R82" s="51">
        <f t="shared" si="55"/>
        <v>0</v>
      </c>
      <c r="S82" s="51">
        <f t="shared" si="55"/>
        <v>0</v>
      </c>
      <c r="T82" s="51">
        <f t="shared" si="55"/>
        <v>0</v>
      </c>
    </row>
    <row r="83" spans="3:20" x14ac:dyDescent="0.2">
      <c r="C83" s="1" t="s">
        <v>69</v>
      </c>
      <c r="F83" s="37">
        <f>Model!C169</f>
        <v>0</v>
      </c>
      <c r="G83" s="37">
        <f>Model!D169</f>
        <v>-97.5</v>
      </c>
      <c r="H83" s="37">
        <f>Model!E169</f>
        <v>-138</v>
      </c>
      <c r="I83" s="37">
        <f>Model!F169</f>
        <v>-56</v>
      </c>
      <c r="J83" s="37">
        <f>Model!G169</f>
        <v>-122</v>
      </c>
      <c r="K83" s="56">
        <f>-K79*K81</f>
        <v>-60</v>
      </c>
      <c r="L83" s="56">
        <f t="shared" ref="L83:T83" si="56">-L79*L81</f>
        <v>-107.5</v>
      </c>
      <c r="M83" s="56">
        <f t="shared" si="56"/>
        <v>-115.5625</v>
      </c>
      <c r="N83" s="56">
        <f t="shared" si="56"/>
        <v>-74.537812500000001</v>
      </c>
      <c r="O83" s="56">
        <f t="shared" si="56"/>
        <v>-133.54691406249998</v>
      </c>
      <c r="P83" s="56">
        <f t="shared" si="56"/>
        <v>-143.56293261718747</v>
      </c>
      <c r="Q83" s="56">
        <f t="shared" si="56"/>
        <v>-92.59809153808591</v>
      </c>
      <c r="R83" s="56">
        <f t="shared" si="56"/>
        <v>-132.7239312045898</v>
      </c>
      <c r="S83" s="56">
        <f t="shared" si="56"/>
        <v>-142.67822604493404</v>
      </c>
      <c r="T83" s="56">
        <f t="shared" si="56"/>
        <v>-115.03431974872807</v>
      </c>
    </row>
    <row r="84" spans="3:20" x14ac:dyDescent="0.2">
      <c r="C84" s="1" t="s">
        <v>70</v>
      </c>
      <c r="F84" s="37">
        <f>Model!C170</f>
        <v>0</v>
      </c>
      <c r="G84" s="37">
        <f>Model!D170</f>
        <v>0</v>
      </c>
      <c r="H84" s="37">
        <f>Model!E170</f>
        <v>0</v>
      </c>
      <c r="I84" s="37">
        <f>Model!F170</f>
        <v>0</v>
      </c>
      <c r="J84" s="37">
        <f>Model!G170</f>
        <v>0</v>
      </c>
      <c r="K84" s="56">
        <v>0</v>
      </c>
      <c r="L84" s="56">
        <v>0</v>
      </c>
      <c r="M84" s="56">
        <v>0</v>
      </c>
      <c r="N84" s="56">
        <v>0</v>
      </c>
      <c r="O84" s="56">
        <v>0</v>
      </c>
      <c r="P84" s="56">
        <v>0</v>
      </c>
      <c r="Q84" s="56">
        <v>0</v>
      </c>
      <c r="R84" s="56">
        <v>0</v>
      </c>
      <c r="S84" s="56">
        <v>0</v>
      </c>
      <c r="T84" s="56">
        <v>0</v>
      </c>
    </row>
    <row r="85" spans="3:20" x14ac:dyDescent="0.2"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3:20" x14ac:dyDescent="0.2">
      <c r="C86" s="1" t="s">
        <v>334</v>
      </c>
      <c r="F86" s="37">
        <f>-Model!C85</f>
        <v>-63.6</v>
      </c>
      <c r="G86" s="37">
        <f>-Model!D85</f>
        <v>-214.6</v>
      </c>
      <c r="H86" s="37">
        <f>-Model!E85</f>
        <v>-67.099999999999994</v>
      </c>
      <c r="I86" s="37">
        <f>-Model!F85</f>
        <v>-62.7</v>
      </c>
      <c r="J86" s="37">
        <f>-Model!G85</f>
        <v>-61.5</v>
      </c>
      <c r="K86" s="255">
        <f>K100+K101</f>
        <v>-43.2</v>
      </c>
      <c r="L86" s="255">
        <f t="shared" ref="L86:T86" si="57">L100+L101</f>
        <v>-43.2</v>
      </c>
      <c r="M86" s="255">
        <f t="shared" si="57"/>
        <v>-43.2</v>
      </c>
      <c r="N86" s="255">
        <f t="shared" si="57"/>
        <v>-53.2</v>
      </c>
      <c r="O86" s="255">
        <f t="shared" si="57"/>
        <v>-53.2</v>
      </c>
      <c r="P86" s="255">
        <f t="shared" si="57"/>
        <v>-53.2</v>
      </c>
      <c r="Q86" s="255">
        <f t="shared" si="57"/>
        <v>-65.7</v>
      </c>
      <c r="R86" s="255">
        <f t="shared" si="57"/>
        <v>-65.7</v>
      </c>
      <c r="S86" s="255">
        <f t="shared" si="57"/>
        <v>-75.7</v>
      </c>
      <c r="T86" s="255">
        <f t="shared" si="57"/>
        <v>-75.7</v>
      </c>
    </row>
    <row r="87" spans="3:20" x14ac:dyDescent="0.2">
      <c r="C87" s="1" t="s">
        <v>201</v>
      </c>
      <c r="F87" s="37">
        <f>Model!C165</f>
        <v>971.4</v>
      </c>
      <c r="G87" s="37">
        <f>Model!D165</f>
        <v>1197.2</v>
      </c>
      <c r="H87" s="37">
        <f>Model!E165</f>
        <v>1389.7</v>
      </c>
      <c r="I87" s="37">
        <f>Model!F165</f>
        <v>1409.2</v>
      </c>
      <c r="J87" s="37">
        <f>Model!G165</f>
        <v>1631.9</v>
      </c>
      <c r="K87" s="255">
        <f>K106+K86</f>
        <v>1629.3878602244279</v>
      </c>
      <c r="L87" s="255">
        <f t="shared" ref="L87:T87" si="58">L106+L86</f>
        <v>1549.8964423546633</v>
      </c>
      <c r="M87" s="255">
        <f t="shared" si="58"/>
        <v>1474.5220315327329</v>
      </c>
      <c r="N87" s="255">
        <f t="shared" si="58"/>
        <v>1523.0528804813011</v>
      </c>
      <c r="O87" s="255">
        <f t="shared" si="58"/>
        <v>1397.3188937185816</v>
      </c>
      <c r="P87" s="255">
        <f t="shared" si="58"/>
        <v>1263.8036545378575</v>
      </c>
      <c r="Q87" s="255">
        <f t="shared" si="58"/>
        <v>1300.1589037653082</v>
      </c>
      <c r="R87" s="255">
        <f t="shared" si="58"/>
        <v>1105.9155015649901</v>
      </c>
      <c r="S87" s="255">
        <f t="shared" si="58"/>
        <v>1095.689943430044</v>
      </c>
      <c r="T87" s="255">
        <f t="shared" si="58"/>
        <v>851.2999999999995</v>
      </c>
    </row>
    <row r="88" spans="3:20" x14ac:dyDescent="0.2">
      <c r="C88" s="1" t="s">
        <v>71</v>
      </c>
      <c r="F88" s="37">
        <f>Model!C171</f>
        <v>-51</v>
      </c>
      <c r="G88" s="37">
        <f>Model!D171</f>
        <v>-51.9</v>
      </c>
      <c r="H88" s="37">
        <f>Model!E171</f>
        <v>-57.5</v>
      </c>
      <c r="I88" s="37">
        <f>Model!F171</f>
        <v>-56.5</v>
      </c>
      <c r="J88" s="37">
        <f>Model!G171</f>
        <v>-65.599999999999994</v>
      </c>
      <c r="K88" s="51">
        <f>-Model!H28*K94</f>
        <v>-51.368457375000034</v>
      </c>
      <c r="L88" s="51">
        <f>-Model!I28*L94</f>
        <v>-61.398767100972698</v>
      </c>
      <c r="M88" s="51">
        <f>-Model!J28*M94</f>
        <v>-99.233290667848095</v>
      </c>
      <c r="N88" s="51">
        <f>-Model!K28*N94</f>
        <v>-94.6131762321899</v>
      </c>
      <c r="O88" s="51">
        <f>-Model!L28*O94</f>
        <v>-88.492519257162954</v>
      </c>
      <c r="P88" s="51">
        <f>-Model!M28*P94</f>
        <v>-94.790398966856785</v>
      </c>
      <c r="Q88" s="51">
        <f>-Model!N28*Q94</f>
        <v>-103.35639451883246</v>
      </c>
      <c r="R88" s="51">
        <f>-Model!O28*R94</f>
        <v>-107.29921273745809</v>
      </c>
      <c r="S88" s="51">
        <f>-Model!P28*S94</f>
        <v>-116.05539633384389</v>
      </c>
      <c r="T88" s="51">
        <f>-Model!Q28*T94</f>
        <v>-121.24921249800298</v>
      </c>
    </row>
    <row r="89" spans="3:20" x14ac:dyDescent="0.2">
      <c r="C89" t="s">
        <v>319</v>
      </c>
      <c r="F89" s="37">
        <f>Model!C172</f>
        <v>0</v>
      </c>
      <c r="G89" s="37">
        <v>4.5</v>
      </c>
      <c r="H89" s="37">
        <v>-3.9</v>
      </c>
      <c r="I89" s="37">
        <v>23.9</v>
      </c>
      <c r="J89" s="37">
        <v>-0.2</v>
      </c>
      <c r="K89" s="56">
        <v>0</v>
      </c>
      <c r="L89" s="56">
        <v>0</v>
      </c>
      <c r="M89" s="56">
        <v>0</v>
      </c>
      <c r="N89" s="56">
        <v>0</v>
      </c>
      <c r="O89" s="56">
        <v>0</v>
      </c>
      <c r="P89" s="56">
        <v>0</v>
      </c>
      <c r="Q89" s="56">
        <v>0</v>
      </c>
      <c r="R89" s="56">
        <v>0</v>
      </c>
      <c r="S89" s="56">
        <v>0</v>
      </c>
      <c r="T89" s="56">
        <v>0</v>
      </c>
    </row>
    <row r="90" spans="3:20" x14ac:dyDescent="0.2">
      <c r="C90" s="1" t="s">
        <v>72</v>
      </c>
      <c r="F90" s="37">
        <f>Model!C173</f>
        <v>0</v>
      </c>
      <c r="G90" s="37">
        <f>Model!D173</f>
        <v>37.6</v>
      </c>
      <c r="H90" s="37">
        <f>Model!E173</f>
        <v>5.4</v>
      </c>
      <c r="I90" s="37">
        <f>Model!F173</f>
        <v>54.8</v>
      </c>
      <c r="J90" s="37">
        <f>Model!G173</f>
        <v>40.799999999999997</v>
      </c>
      <c r="K90" s="56">
        <v>0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</row>
    <row r="91" spans="3:20" x14ac:dyDescent="0.2">
      <c r="C91" s="1" t="s">
        <v>73</v>
      </c>
      <c r="F91" s="37">
        <f>Model!C174</f>
        <v>0</v>
      </c>
      <c r="G91" s="37">
        <f>Model!D174</f>
        <v>0</v>
      </c>
      <c r="H91" s="37">
        <f>Model!E174</f>
        <v>0</v>
      </c>
      <c r="I91" s="37">
        <f>Model!F174</f>
        <v>0</v>
      </c>
      <c r="J91" s="37">
        <f>Model!G174</f>
        <v>0</v>
      </c>
      <c r="K91" s="56">
        <v>0</v>
      </c>
      <c r="L91" s="56">
        <v>0</v>
      </c>
      <c r="M91" s="56">
        <v>0</v>
      </c>
      <c r="N91" s="56">
        <v>0</v>
      </c>
      <c r="O91" s="56">
        <v>0</v>
      </c>
      <c r="P91" s="56">
        <v>0</v>
      </c>
      <c r="Q91" s="56">
        <v>0</v>
      </c>
      <c r="R91" s="56">
        <v>0</v>
      </c>
      <c r="S91" s="56">
        <v>0</v>
      </c>
      <c r="T91" s="56">
        <v>0</v>
      </c>
    </row>
    <row r="92" spans="3:20" x14ac:dyDescent="0.2">
      <c r="C92" s="1" t="s">
        <v>38</v>
      </c>
      <c r="F92" s="37">
        <f>Model!C175</f>
        <v>143.4</v>
      </c>
      <c r="G92" s="37">
        <f>Model!D175</f>
        <v>-99.300000000000068</v>
      </c>
      <c r="H92" s="37">
        <f>Model!E175</f>
        <v>-256.30000000000007</v>
      </c>
      <c r="I92" s="37">
        <f>Model!F175</f>
        <v>-87.5</v>
      </c>
      <c r="J92" s="37">
        <f>Model!G175</f>
        <v>-228.89999999999998</v>
      </c>
      <c r="K92" s="56">
        <v>0</v>
      </c>
      <c r="L92" s="56">
        <v>0</v>
      </c>
      <c r="M92" s="56">
        <v>0</v>
      </c>
      <c r="N92" s="56">
        <v>0</v>
      </c>
      <c r="O92" s="56">
        <v>0</v>
      </c>
      <c r="P92" s="56">
        <v>0</v>
      </c>
      <c r="Q92" s="56">
        <v>0</v>
      </c>
      <c r="R92" s="56">
        <v>0</v>
      </c>
      <c r="S92" s="56">
        <v>0</v>
      </c>
      <c r="T92" s="56">
        <v>0</v>
      </c>
    </row>
    <row r="93" spans="3:20" x14ac:dyDescent="0.2">
      <c r="C93" s="1" t="s">
        <v>74</v>
      </c>
      <c r="F93" s="37">
        <f>Model!C180</f>
        <v>0</v>
      </c>
      <c r="G93" s="37">
        <f>Model!D180</f>
        <v>0</v>
      </c>
      <c r="H93" s="37">
        <f>Model!E180</f>
        <v>0</v>
      </c>
      <c r="I93" s="37">
        <f>Model!F180</f>
        <v>0</v>
      </c>
      <c r="J93" s="37">
        <f>Model!G180</f>
        <v>0</v>
      </c>
      <c r="K93" s="56">
        <v>0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  <c r="T93" s="56">
        <v>0</v>
      </c>
    </row>
    <row r="94" spans="3:20" x14ac:dyDescent="0.2">
      <c r="C94" s="1" t="s">
        <v>75</v>
      </c>
      <c r="F94" s="24">
        <f>-F88/Model!C28</f>
        <v>0.39291217257318967</v>
      </c>
      <c r="G94" s="24">
        <f>-G88/Model!D28</f>
        <v>0.22170012815036319</v>
      </c>
      <c r="H94" s="24">
        <f>-H88/Model!E28</f>
        <v>0.22890127388535023</v>
      </c>
      <c r="I94" s="24">
        <f>-I88/Model!F28</f>
        <v>0.6865127582017011</v>
      </c>
      <c r="J94" s="24">
        <f>-J88/Model!G28</f>
        <v>0.40369230769230752</v>
      </c>
      <c r="K94" s="59">
        <v>0.3</v>
      </c>
      <c r="L94" s="59">
        <v>0.3</v>
      </c>
      <c r="M94" s="59">
        <v>0.4</v>
      </c>
      <c r="N94" s="59">
        <v>0.35</v>
      </c>
      <c r="O94" s="59">
        <v>0.3</v>
      </c>
      <c r="P94" s="59">
        <f t="shared" ref="P94:T94" si="59">O94</f>
        <v>0.3</v>
      </c>
      <c r="Q94" s="59">
        <f t="shared" si="59"/>
        <v>0.3</v>
      </c>
      <c r="R94" s="59">
        <f t="shared" si="59"/>
        <v>0.3</v>
      </c>
      <c r="S94" s="59">
        <f t="shared" si="59"/>
        <v>0.3</v>
      </c>
      <c r="T94" s="59">
        <f t="shared" si="59"/>
        <v>0.3</v>
      </c>
    </row>
    <row r="95" spans="3:20" x14ac:dyDescent="0.2">
      <c r="C95" s="1" t="s">
        <v>76</v>
      </c>
      <c r="F95" s="199">
        <f>Model!C43</f>
        <v>0.76</v>
      </c>
      <c r="G95" s="199">
        <f>Model!D43</f>
        <v>0.78</v>
      </c>
      <c r="H95" s="199">
        <f>Model!E43</f>
        <v>0.88</v>
      </c>
      <c r="I95" s="199">
        <f>Model!F43</f>
        <v>0.9</v>
      </c>
      <c r="J95" s="199">
        <f>Model!G43</f>
        <v>1.06</v>
      </c>
      <c r="K95" s="199">
        <f>Model!H43</f>
        <v>0.84487594366776375</v>
      </c>
      <c r="L95" s="199">
        <f>Model!I43</f>
        <v>1.0531520943563071</v>
      </c>
      <c r="M95" s="199">
        <f>Model!J43</f>
        <v>1.7783743847284605</v>
      </c>
      <c r="N95" s="199">
        <f>Model!K43</f>
        <v>1.742415768548617</v>
      </c>
      <c r="O95" s="199">
        <f>Model!L43</f>
        <v>1.7083497926093236</v>
      </c>
      <c r="P95" s="199">
        <f>Model!M43</f>
        <v>1.9227261453723488</v>
      </c>
      <c r="Q95" s="199">
        <f>Model!N43</f>
        <v>2.1622676677580013</v>
      </c>
      <c r="R95" s="199">
        <f>Model!O43</f>
        <v>2.3427775706868581</v>
      </c>
      <c r="S95" s="199">
        <f>Model!P43</f>
        <v>2.6496665829644725</v>
      </c>
      <c r="T95" s="199">
        <f>Model!Q43</f>
        <v>2.866411642978794</v>
      </c>
    </row>
    <row r="96" spans="3:20" x14ac:dyDescent="0.2">
      <c r="C96" s="1" t="s">
        <v>77</v>
      </c>
      <c r="G96" s="24">
        <f>G95/F95-1</f>
        <v>2.6315789473684292E-2</v>
      </c>
      <c r="H96" s="24">
        <f t="shared" ref="H96:T96" si="60">H95/G95-1</f>
        <v>0.12820512820512819</v>
      </c>
      <c r="I96" s="24">
        <f t="shared" si="60"/>
        <v>2.2727272727272707E-2</v>
      </c>
      <c r="J96" s="24">
        <f t="shared" si="60"/>
        <v>0.17777777777777781</v>
      </c>
      <c r="K96" s="24">
        <f t="shared" si="60"/>
        <v>-0.20294722295493994</v>
      </c>
      <c r="L96" s="24">
        <f t="shared" si="60"/>
        <v>0.24651684338931212</v>
      </c>
      <c r="M96" s="24">
        <f t="shared" si="60"/>
        <v>0.68862066007228862</v>
      </c>
      <c r="N96" s="24">
        <f t="shared" si="60"/>
        <v>-2.0219935964346458E-2</v>
      </c>
      <c r="O96" s="24">
        <f t="shared" si="60"/>
        <v>-1.9551003012139523E-2</v>
      </c>
      <c r="P96" s="24">
        <f t="shared" si="60"/>
        <v>0.1254873877062308</v>
      </c>
      <c r="Q96" s="24">
        <f t="shared" si="60"/>
        <v>0.12458431636881073</v>
      </c>
      <c r="R96" s="24">
        <f t="shared" si="60"/>
        <v>8.3481756500582982E-2</v>
      </c>
      <c r="S96" s="24">
        <f t="shared" si="60"/>
        <v>0.1309936615910321</v>
      </c>
      <c r="T96" s="24">
        <f t="shared" si="60"/>
        <v>8.1800880687344923E-2</v>
      </c>
    </row>
    <row r="99" spans="3:21" x14ac:dyDescent="0.2">
      <c r="C99" s="29" t="s">
        <v>326</v>
      </c>
      <c r="D99" s="13"/>
      <c r="E99" s="13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3:21" x14ac:dyDescent="0.2">
      <c r="C100" t="s">
        <v>329</v>
      </c>
      <c r="D100" s="37"/>
      <c r="E100" s="37"/>
      <c r="F100" s="37"/>
      <c r="G100" s="37"/>
      <c r="H100" s="37"/>
      <c r="K100" s="254">
        <v>-30</v>
      </c>
      <c r="L100" s="254">
        <v>-30</v>
      </c>
      <c r="M100" s="254">
        <v>-30</v>
      </c>
      <c r="N100" s="254">
        <v>-30</v>
      </c>
      <c r="O100" s="254">
        <v>-30</v>
      </c>
      <c r="P100" s="254">
        <v>-30</v>
      </c>
      <c r="Q100" s="254">
        <v>-30</v>
      </c>
      <c r="R100" s="254">
        <v>-30</v>
      </c>
      <c r="S100" s="254">
        <v>-30</v>
      </c>
      <c r="T100" s="254">
        <v>-30</v>
      </c>
    </row>
    <row r="101" spans="3:21" x14ac:dyDescent="0.2">
      <c r="C101" s="1" t="s">
        <v>356</v>
      </c>
      <c r="D101" s="37"/>
      <c r="E101" s="37"/>
      <c r="F101" s="37"/>
      <c r="G101" s="37"/>
      <c r="H101" s="37"/>
      <c r="K101" s="56">
        <f t="shared" ref="K101:T101" si="61">K72*K102+J101</f>
        <v>-13.200000000000001</v>
      </c>
      <c r="L101" s="56">
        <f t="shared" si="61"/>
        <v>-13.200000000000001</v>
      </c>
      <c r="M101" s="56">
        <f t="shared" si="61"/>
        <v>-13.200000000000001</v>
      </c>
      <c r="N101" s="56">
        <f t="shared" si="61"/>
        <v>-23.200000000000003</v>
      </c>
      <c r="O101" s="56">
        <f t="shared" si="61"/>
        <v>-23.200000000000003</v>
      </c>
      <c r="P101" s="56">
        <f t="shared" si="61"/>
        <v>-23.200000000000003</v>
      </c>
      <c r="Q101" s="56">
        <f t="shared" si="61"/>
        <v>-35.700000000000003</v>
      </c>
      <c r="R101" s="56">
        <f t="shared" si="61"/>
        <v>-35.700000000000003</v>
      </c>
      <c r="S101" s="56">
        <f t="shared" si="61"/>
        <v>-45.7</v>
      </c>
      <c r="T101" s="56">
        <f t="shared" si="61"/>
        <v>-45.7</v>
      </c>
    </row>
    <row r="102" spans="3:21" x14ac:dyDescent="0.2">
      <c r="C102" s="1" t="s">
        <v>357</v>
      </c>
      <c r="D102" s="37"/>
      <c r="E102" s="37"/>
      <c r="F102" s="37"/>
      <c r="G102" s="37"/>
      <c r="H102" s="37"/>
      <c r="K102" s="20">
        <v>0.05</v>
      </c>
      <c r="L102" s="20">
        <v>0.05</v>
      </c>
      <c r="M102" s="20">
        <v>0.05</v>
      </c>
      <c r="N102" s="20">
        <v>0.05</v>
      </c>
      <c r="O102" s="20">
        <v>0.05</v>
      </c>
      <c r="P102" s="20">
        <v>0.05</v>
      </c>
      <c r="Q102" s="20">
        <v>0.05</v>
      </c>
      <c r="R102" s="20">
        <v>0.05</v>
      </c>
      <c r="S102" s="20">
        <v>0.05</v>
      </c>
      <c r="T102" s="20">
        <v>0.05</v>
      </c>
    </row>
    <row r="103" spans="3:21" x14ac:dyDescent="0.2">
      <c r="C103" t="s">
        <v>331</v>
      </c>
      <c r="D103" s="37"/>
      <c r="E103" s="37"/>
      <c r="F103" s="36">
        <v>634</v>
      </c>
      <c r="G103" s="36">
        <v>601</v>
      </c>
      <c r="H103" s="36">
        <v>569</v>
      </c>
      <c r="I103" s="196">
        <v>536</v>
      </c>
      <c r="J103" s="196">
        <v>585</v>
      </c>
      <c r="K103" s="243">
        <f t="shared" ref="K103:T103" si="62">J103+K100+K101-K72</f>
        <v>805.8</v>
      </c>
      <c r="L103" s="243">
        <f t="shared" si="62"/>
        <v>762.59999999999991</v>
      </c>
      <c r="M103" s="243">
        <f t="shared" si="62"/>
        <v>719.39999999999986</v>
      </c>
      <c r="N103" s="243">
        <f t="shared" si="62"/>
        <v>866.19999999999982</v>
      </c>
      <c r="O103" s="243">
        <f t="shared" si="62"/>
        <v>812.99999999999977</v>
      </c>
      <c r="P103" s="243">
        <f t="shared" si="62"/>
        <v>759.79999999999973</v>
      </c>
      <c r="Q103" s="243">
        <f t="shared" si="62"/>
        <v>944.09999999999968</v>
      </c>
      <c r="R103" s="243">
        <f t="shared" si="62"/>
        <v>878.39999999999964</v>
      </c>
      <c r="S103" s="243">
        <f t="shared" si="62"/>
        <v>1002.6999999999996</v>
      </c>
      <c r="T103" s="243">
        <f t="shared" si="62"/>
        <v>926.99999999999955</v>
      </c>
    </row>
    <row r="104" spans="3:21" x14ac:dyDescent="0.2">
      <c r="C104" s="1" t="s">
        <v>328</v>
      </c>
      <c r="F104" s="37">
        <f>Model!C28+Model!C33+Model!C35-Model!C36-Model!C171</f>
        <v>80.099999999999966</v>
      </c>
      <c r="G104" s="37">
        <f>Model!D28+Model!D33+Model!D35-Model!D36-Model!D171</f>
        <v>620.39999999999975</v>
      </c>
      <c r="H104" s="37">
        <f>Model!E28+Model!E33+Model!E35-Model!E36-Model!E171</f>
        <v>681.2</v>
      </c>
      <c r="I104" s="37">
        <f>Model!F28+Model!F33+Model!F35-Model!F36-Model!F171</f>
        <v>274.39999999999998</v>
      </c>
      <c r="J104" s="37">
        <f>Model!G28+Model!G33+Model!G35-Model!G36-Model!G171</f>
        <v>251.20000000000002</v>
      </c>
      <c r="K104" s="37">
        <f>Model!H152+Model!H161+Model!H171+Model!H169-K72</f>
        <v>113.11213977557219</v>
      </c>
      <c r="L104" s="37">
        <f>Model!I152+Model!I161+Model!I171+Model!I169-L72</f>
        <v>36.29141786976416</v>
      </c>
      <c r="M104" s="37">
        <f>Model!J152+Model!J161+Model!J171+Model!J169-M72</f>
        <v>32.174410821930906</v>
      </c>
      <c r="N104" s="37">
        <f>Model!K152+Model!K161+Model!K171+Model!K169-N72</f>
        <v>88.269151051431592</v>
      </c>
      <c r="O104" s="37">
        <f>Model!L152+Model!L161+Model!L171+Model!L169-O72</f>
        <v>72.533986762719451</v>
      </c>
      <c r="P104" s="37">
        <f>Model!M152+Model!M161+Model!M171+Model!M169-P72</f>
        <v>80.31523918072412</v>
      </c>
      <c r="Q104" s="37">
        <f>Model!N152+Model!N161+Model!N171+Model!N169-Q72</f>
        <v>135.44475077254936</v>
      </c>
      <c r="R104" s="37">
        <f>Model!O152+Model!O161+Model!O171+Model!O169-R72</f>
        <v>128.54340220031804</v>
      </c>
      <c r="S104" s="37">
        <f>Model!P152+Model!P161+Model!P171+Model!P169-S72</f>
        <v>124.52555813494597</v>
      </c>
      <c r="T104" s="37">
        <f>Model!Q152+Model!Q161+Model!Q171+Model!Q169-T72</f>
        <v>173.63571592027319</v>
      </c>
    </row>
    <row r="105" spans="3:21" x14ac:dyDescent="0.2">
      <c r="C105" s="1" t="s">
        <v>358</v>
      </c>
      <c r="F105" s="37">
        <v>255</v>
      </c>
      <c r="G105" s="37">
        <v>520</v>
      </c>
      <c r="H105" s="37">
        <v>745</v>
      </c>
      <c r="I105" s="37">
        <v>799</v>
      </c>
      <c r="J105" s="37">
        <v>984</v>
      </c>
      <c r="K105" s="243">
        <f>MAX(0, J105-(Model!H179+K104-K109))</f>
        <v>866.78786022442785</v>
      </c>
      <c r="L105" s="243">
        <f>MAX(0, K105-(Model!I179+L104-L109))</f>
        <v>830.4964423546636</v>
      </c>
      <c r="M105" s="243">
        <f>MAX(0, L105-(Model!J179+M104-M109))</f>
        <v>798.32203153273304</v>
      </c>
      <c r="N105" s="243">
        <f>MAX(0, M105-(Model!K179+N104-N109))</f>
        <v>710.05288048130137</v>
      </c>
      <c r="O105" s="243">
        <f>MAX(0, N105-(Model!L179+O104-O109))</f>
        <v>637.51889371858192</v>
      </c>
      <c r="P105" s="243">
        <f>MAX(0, O105-(Model!M179+P104-P109))</f>
        <v>557.2036545378578</v>
      </c>
      <c r="Q105" s="243">
        <f>MAX(0, P105-(Model!N179+Q104-Q109))</f>
        <v>421.75890376530845</v>
      </c>
      <c r="R105" s="243">
        <f>MAX(0, Q105-(Model!O179+R104-R109))</f>
        <v>293.2155015649904</v>
      </c>
      <c r="S105" s="243">
        <f>MAX(0, R105-(Model!P179+S104-S109))</f>
        <v>168.68994343004442</v>
      </c>
      <c r="T105" s="243">
        <f>MAX(0, S105-(Model!Q179+T104-T109))</f>
        <v>0</v>
      </c>
    </row>
    <row r="106" spans="3:21" x14ac:dyDescent="0.2">
      <c r="C106" s="1" t="s">
        <v>332</v>
      </c>
      <c r="F106" s="37">
        <f t="shared" ref="F106:J106" si="63">F103+F105</f>
        <v>889</v>
      </c>
      <c r="G106" s="37">
        <f t="shared" si="63"/>
        <v>1121</v>
      </c>
      <c r="H106" s="37">
        <f t="shared" si="63"/>
        <v>1314</v>
      </c>
      <c r="I106" s="37">
        <f t="shared" si="63"/>
        <v>1335</v>
      </c>
      <c r="J106" s="37">
        <f t="shared" si="63"/>
        <v>1569</v>
      </c>
      <c r="K106" s="37">
        <f t="shared" ref="K106:T106" si="64">K103+K105</f>
        <v>1672.5878602244279</v>
      </c>
      <c r="L106" s="37">
        <f t="shared" si="64"/>
        <v>1593.0964423546634</v>
      </c>
      <c r="M106" s="37">
        <f t="shared" si="64"/>
        <v>1517.7220315327329</v>
      </c>
      <c r="N106" s="37">
        <f t="shared" si="64"/>
        <v>1576.2528804813012</v>
      </c>
      <c r="O106" s="37">
        <f t="shared" si="64"/>
        <v>1450.5188937185817</v>
      </c>
      <c r="P106" s="37">
        <f t="shared" si="64"/>
        <v>1317.0036545378575</v>
      </c>
      <c r="Q106" s="37">
        <f t="shared" si="64"/>
        <v>1365.8589037653082</v>
      </c>
      <c r="R106" s="37">
        <f t="shared" si="64"/>
        <v>1171.6155015649902</v>
      </c>
      <c r="S106" s="37">
        <f t="shared" si="64"/>
        <v>1171.389943430044</v>
      </c>
      <c r="T106" s="37">
        <f t="shared" si="64"/>
        <v>926.99999999999955</v>
      </c>
    </row>
    <row r="107" spans="3:21" x14ac:dyDescent="0.2">
      <c r="C107" s="1" t="s">
        <v>333</v>
      </c>
      <c r="F107" s="256">
        <f>Model!C21</f>
        <v>-28.6</v>
      </c>
      <c r="G107" s="256">
        <f>Model!D21</f>
        <v>-41.1</v>
      </c>
      <c r="H107" s="256">
        <f>Model!E21</f>
        <v>-82.3</v>
      </c>
      <c r="I107" s="256">
        <f>Model!F21</f>
        <v>-85</v>
      </c>
      <c r="J107" s="256">
        <f>Model!G21</f>
        <v>-96.4</v>
      </c>
      <c r="K107" s="256">
        <f>J106*Model!H60</f>
        <v>-86.295000000000002</v>
      </c>
      <c r="L107" s="256">
        <f>K106*Model!I60</f>
        <v>-91.992332312343535</v>
      </c>
      <c r="M107" s="256">
        <f>L106*Model!J60</f>
        <v>-87.620304329506482</v>
      </c>
      <c r="N107" s="256">
        <f>M106*Model!K60</f>
        <v>-83.474711734300314</v>
      </c>
      <c r="O107" s="256">
        <f>N106*Model!L60</f>
        <v>-86.693908426471566</v>
      </c>
      <c r="P107" s="256">
        <f>O106*Model!M60</f>
        <v>-79.778539154521994</v>
      </c>
      <c r="Q107" s="256">
        <f>P106*Model!N60</f>
        <v>-72.435200999582165</v>
      </c>
      <c r="R107" s="256">
        <f>Q106*Model!O60</f>
        <v>-75.12223970709195</v>
      </c>
      <c r="S107" s="256">
        <f>R106*Model!P60</f>
        <v>-64.438852586074461</v>
      </c>
      <c r="T107" s="256">
        <f>S106*Model!Q60</f>
        <v>-64.426446888652421</v>
      </c>
    </row>
    <row r="109" spans="3:21" x14ac:dyDescent="0.2">
      <c r="C109" s="1" t="s">
        <v>355</v>
      </c>
      <c r="K109" s="56">
        <v>100</v>
      </c>
      <c r="L109" s="56">
        <v>100</v>
      </c>
      <c r="M109" s="56">
        <v>100</v>
      </c>
      <c r="N109" s="56">
        <v>100</v>
      </c>
      <c r="O109" s="56">
        <v>100</v>
      </c>
      <c r="P109" s="56">
        <v>100</v>
      </c>
      <c r="Q109" s="56">
        <v>100</v>
      </c>
      <c r="R109" s="56">
        <v>100</v>
      </c>
      <c r="S109" s="56">
        <v>100</v>
      </c>
      <c r="T109" s="56">
        <v>100</v>
      </c>
      <c r="U109" s="1" t="s">
        <v>451</v>
      </c>
    </row>
  </sheetData>
  <pageMargins left="0.7" right="0.7" top="0.75" bottom="0.75" header="0.3" footer="0.3"/>
  <ignoredErrors>
    <ignoredError sqref="K10:T10" evalError="1"/>
    <ignoredError sqref="L49 M49:T4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FFD0-24D0-494B-91E1-71F2909646CA}">
  <dimension ref="A1:Q214"/>
  <sheetViews>
    <sheetView topLeftCell="A5" zoomScale="98" zoomScaleNormal="98" workbookViewId="0">
      <pane ySplit="1" topLeftCell="A6" activePane="bottomLeft" state="frozen"/>
      <selection activeCell="A5" sqref="A5"/>
      <selection pane="bottomLeft" activeCell="J210" sqref="J210"/>
    </sheetView>
  </sheetViews>
  <sheetFormatPr baseColWidth="10" defaultColWidth="9.33203125" defaultRowHeight="15" x14ac:dyDescent="0.2"/>
  <cols>
    <col min="1" max="1" width="12.6640625" style="1" bestFit="1" customWidth="1"/>
    <col min="2" max="2" width="38.5" style="1" customWidth="1"/>
    <col min="3" max="3" width="12.33203125" style="1" bestFit="1" customWidth="1"/>
    <col min="4" max="5" width="9.83203125" style="1" bestFit="1" customWidth="1"/>
    <col min="6" max="7" width="10.1640625" style="1" bestFit="1" customWidth="1"/>
    <col min="8" max="8" width="11.33203125" style="1" customWidth="1"/>
    <col min="9" max="9" width="9.83203125" style="1" bestFit="1" customWidth="1"/>
    <col min="10" max="11" width="10.6640625" style="1" bestFit="1" customWidth="1"/>
    <col min="12" max="13" width="10.83203125" style="1" bestFit="1" customWidth="1"/>
    <col min="14" max="16" width="11.1640625" style="1" bestFit="1" customWidth="1"/>
    <col min="17" max="17" width="11.6640625" style="1" bestFit="1" customWidth="1"/>
    <col min="18" max="16384" width="9.33203125" style="1"/>
  </cols>
  <sheetData>
    <row r="1" spans="1:17" hidden="1" x14ac:dyDescent="0.2"/>
    <row r="2" spans="1:17" hidden="1" x14ac:dyDescent="0.2"/>
    <row r="3" spans="1:17" hidden="1" x14ac:dyDescent="0.2"/>
    <row r="4" spans="1:17" hidden="1" x14ac:dyDescent="0.2"/>
    <row r="5" spans="1:17" x14ac:dyDescent="0.2">
      <c r="A5" s="1" t="str">
        <f>Input!$A$5</f>
        <v>Last Edit:</v>
      </c>
      <c r="B5" s="202">
        <f ca="1">Input!$B$5</f>
        <v>46156</v>
      </c>
    </row>
    <row r="6" spans="1:17" x14ac:dyDescent="0.2">
      <c r="B6" s="9" t="str">
        <f>Input!C7</f>
        <v>In Millions of USD</v>
      </c>
      <c r="C6" s="9" t="str">
        <f>Segments!D5</f>
        <v>FY2021</v>
      </c>
      <c r="D6" s="9" t="str">
        <f>Segments!E5</f>
        <v>FY2022</v>
      </c>
      <c r="E6" s="9" t="str">
        <f>Segments!F5</f>
        <v>FY2023</v>
      </c>
      <c r="F6" s="9" t="str">
        <f>Segments!G5</f>
        <v>FY2024</v>
      </c>
      <c r="G6" s="9" t="str">
        <f>Segments!H5</f>
        <v>FY2025</v>
      </c>
      <c r="H6" s="10" t="str">
        <f>Segments!I5</f>
        <v>FY2026 E</v>
      </c>
      <c r="I6" s="10" t="str">
        <f>Segments!J5</f>
        <v>FY2027 E</v>
      </c>
      <c r="J6" s="10" t="str">
        <f>Segments!K5</f>
        <v>FY2028 E</v>
      </c>
      <c r="K6" s="10" t="str">
        <f>Segments!L5</f>
        <v>FY2029 E</v>
      </c>
      <c r="L6" s="10" t="str">
        <f>Segments!M5</f>
        <v>FY2030 E</v>
      </c>
      <c r="M6" s="10" t="str">
        <f>Segments!N5</f>
        <v>FY2031 E</v>
      </c>
      <c r="N6" s="10" t="str">
        <f>Segments!O5</f>
        <v>FY2032 E</v>
      </c>
      <c r="O6" s="10" t="str">
        <f>Segments!P5</f>
        <v>FY2033 E</v>
      </c>
      <c r="P6" s="10" t="str">
        <f>Segments!Q5</f>
        <v>FY2034 E</v>
      </c>
      <c r="Q6" s="10" t="str">
        <f>Segments!R5</f>
        <v>FY2035 E</v>
      </c>
    </row>
    <row r="7" spans="1:17" x14ac:dyDescent="0.2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7" x14ac:dyDescent="0.2">
      <c r="B8" s="31" t="s">
        <v>78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x14ac:dyDescent="0.2">
      <c r="B9" s="81" t="s">
        <v>79</v>
      </c>
      <c r="C9" s="35">
        <f>Segments!D13</f>
        <v>6372.8</v>
      </c>
      <c r="D9" s="35">
        <f>Segments!E13</f>
        <v>7806.6</v>
      </c>
      <c r="E9" s="35">
        <f>Segments!F13</f>
        <v>8096.4</v>
      </c>
      <c r="F9" s="35">
        <f>Segments!G13</f>
        <v>8359.4000000000015</v>
      </c>
      <c r="G9" s="35">
        <f>Segments!H13</f>
        <v>8745.9</v>
      </c>
      <c r="H9" s="35">
        <f>Segments!I13</f>
        <v>9287.8209999999999</v>
      </c>
      <c r="I9" s="35">
        <f>Segments!J13</f>
        <v>9742.0358699999997</v>
      </c>
      <c r="J9" s="35">
        <f>Segments!K13</f>
        <v>10178.1304894</v>
      </c>
      <c r="K9" s="35">
        <f>Segments!L13</f>
        <v>10763.806371344001</v>
      </c>
      <c r="L9" s="35">
        <f>Segments!M13</f>
        <v>11176.604809676963</v>
      </c>
      <c r="M9" s="35">
        <f>Segments!N13</f>
        <v>11563.130522977346</v>
      </c>
      <c r="N9" s="35">
        <f>Segments!O13</f>
        <v>12156.005206822405</v>
      </c>
      <c r="O9" s="35">
        <f>Segments!P13</f>
        <v>12511.195859087278</v>
      </c>
      <c r="P9" s="35">
        <f>Segments!Q13</f>
        <v>13044.196721083523</v>
      </c>
      <c r="Q9" s="35">
        <f>Segments!R13</f>
        <v>13452.234209000329</v>
      </c>
    </row>
    <row r="10" spans="1:17" x14ac:dyDescent="0.2">
      <c r="B10" s="44" t="s">
        <v>310</v>
      </c>
      <c r="C10" s="243">
        <f>C9-C11</f>
        <v>5788.4000000000005</v>
      </c>
      <c r="D10" s="243">
        <f t="shared" ref="D10:G10" si="0">D9-D11</f>
        <v>7169.7000000000007</v>
      </c>
      <c r="E10" s="243">
        <f t="shared" si="0"/>
        <v>7456.2</v>
      </c>
      <c r="F10" s="243">
        <f t="shared" si="0"/>
        <v>7702.3000000000011</v>
      </c>
      <c r="G10" s="243">
        <f t="shared" si="0"/>
        <v>8058.2</v>
      </c>
      <c r="H10" s="243">
        <f t="shared" ref="H10" si="1">H9-H11</f>
        <v>8549.9289050000007</v>
      </c>
      <c r="I10" s="243">
        <f t="shared" ref="I10" si="2">I9-I11</f>
        <v>8941.7986935499994</v>
      </c>
      <c r="J10" s="243">
        <f t="shared" ref="J10" si="3">J9-J11</f>
        <v>9312.3273299350003</v>
      </c>
      <c r="K10" s="243">
        <f t="shared" ref="K10" si="4">K9-K11</f>
        <v>9850.3682572047401</v>
      </c>
      <c r="L10" s="243">
        <f t="shared" ref="L10" si="5">L9-L11</f>
        <v>10215.666623276022</v>
      </c>
      <c r="M10" s="243">
        <f t="shared" ref="M10" si="6">M9-M11</f>
        <v>10568.116100828811</v>
      </c>
      <c r="N10" s="243">
        <f t="shared" ref="N10" si="7">N9-N11</f>
        <v>11103.762044132893</v>
      </c>
      <c r="O10" s="243">
        <f t="shared" ref="O10" si="8">O9-O11</f>
        <v>11426.526995072436</v>
      </c>
      <c r="P10" s="243">
        <f t="shared" ref="P10" si="9">P9-P11</f>
        <v>11907.768178170358</v>
      </c>
      <c r="Q10" s="243">
        <f t="shared" ref="Q10" si="10">Q9-Q11</f>
        <v>12278.02695087165</v>
      </c>
    </row>
    <row r="11" spans="1:17" x14ac:dyDescent="0.2">
      <c r="B11" s="82" t="s">
        <v>304</v>
      </c>
      <c r="C11" s="38">
        <f>Segments!D41</f>
        <v>584.4</v>
      </c>
      <c r="D11" s="38">
        <f>Segments!E41</f>
        <v>636.89999999999986</v>
      </c>
      <c r="E11" s="38">
        <f>Segments!F41</f>
        <v>640.20000000000005</v>
      </c>
      <c r="F11" s="38">
        <f>Segments!G41</f>
        <v>657.1</v>
      </c>
      <c r="G11" s="38">
        <f>Segments!H41</f>
        <v>687.7</v>
      </c>
      <c r="H11" s="38">
        <f>Segments!I41</f>
        <v>737.89209500000015</v>
      </c>
      <c r="I11" s="38">
        <f>Segments!J41</f>
        <v>800.23717644999999</v>
      </c>
      <c r="J11" s="38">
        <f>Segments!K41</f>
        <v>865.80315946500014</v>
      </c>
      <c r="K11" s="38">
        <f>Segments!L41</f>
        <v>913.43811413925994</v>
      </c>
      <c r="L11" s="38">
        <f>Segments!M41</f>
        <v>960.93818640094105</v>
      </c>
      <c r="M11" s="38">
        <f>Segments!N41</f>
        <v>995.01442214853489</v>
      </c>
      <c r="N11" s="38">
        <f>Segments!O41</f>
        <v>1052.2431626895116</v>
      </c>
      <c r="O11" s="38">
        <f>Segments!P41</f>
        <v>1084.6688640148413</v>
      </c>
      <c r="P11" s="38">
        <f>Segments!Q41</f>
        <v>1136.428542913166</v>
      </c>
      <c r="Q11" s="38">
        <f>Segments!R41</f>
        <v>1174.2072581286789</v>
      </c>
    </row>
    <row r="12" spans="1:17" x14ac:dyDescent="0.2"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</row>
    <row r="13" spans="1:17" x14ac:dyDescent="0.2">
      <c r="B13" s="44" t="s">
        <v>311</v>
      </c>
      <c r="C13" s="36">
        <v>-374.6</v>
      </c>
      <c r="D13" s="36">
        <v>-284.5</v>
      </c>
      <c r="E13" s="36">
        <v>-226.6</v>
      </c>
      <c r="F13" s="36">
        <v>-433.1</v>
      </c>
      <c r="G13" s="36">
        <v>-370.5</v>
      </c>
      <c r="H13" s="37">
        <f>Input!K26</f>
        <v>-371.51283999999998</v>
      </c>
      <c r="I13" s="37">
        <f>Input!L26</f>
        <v>-389.68143479999998</v>
      </c>
      <c r="J13" s="37">
        <f>Input!M26</f>
        <v>-407.12521957600001</v>
      </c>
      <c r="K13" s="37">
        <f>Input!N26</f>
        <v>-430.55225485376002</v>
      </c>
      <c r="L13" s="37">
        <f>Input!O26</f>
        <v>-447.06419238707849</v>
      </c>
      <c r="M13" s="37">
        <f>Input!P26</f>
        <v>-462.52522091909384</v>
      </c>
      <c r="N13" s="37">
        <f>Input!Q26</f>
        <v>-486.24020827289621</v>
      </c>
      <c r="O13" s="37">
        <f>Input!R26</f>
        <v>-500.44783436349115</v>
      </c>
      <c r="P13" s="37">
        <f>Input!S26</f>
        <v>-521.76786884334092</v>
      </c>
      <c r="Q13" s="37">
        <f>Input!T26</f>
        <v>-538.08936836001317</v>
      </c>
    </row>
    <row r="14" spans="1:17" x14ac:dyDescent="0.2">
      <c r="B14" s="44" t="s">
        <v>312</v>
      </c>
      <c r="C14" s="36"/>
      <c r="D14" s="36"/>
      <c r="E14" s="36">
        <v>-4.2</v>
      </c>
      <c r="F14" s="36">
        <v>-11</v>
      </c>
      <c r="G14" s="36">
        <v>-5.4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spans="1:17" x14ac:dyDescent="0.2">
      <c r="B15" s="44" t="s">
        <v>308</v>
      </c>
      <c r="C15" s="36">
        <v>-67.3</v>
      </c>
      <c r="D15" s="36">
        <v>-55.3</v>
      </c>
      <c r="E15" s="36">
        <v>-76.5</v>
      </c>
      <c r="F15" s="36">
        <v>-56.1</v>
      </c>
      <c r="G15" s="36">
        <v>-52.5</v>
      </c>
      <c r="H15" s="37">
        <f>-Input!K29</f>
        <v>-51.78</v>
      </c>
      <c r="I15" s="37">
        <f>-Input!L29</f>
        <v>-45.68</v>
      </c>
      <c r="J15" s="37">
        <f>-Input!M29</f>
        <v>-40.28</v>
      </c>
      <c r="K15" s="37">
        <f>-Input!N29</f>
        <v>-38.980000000000004</v>
      </c>
      <c r="L15" s="37">
        <f>-Input!O29</f>
        <v>-33.880000000000003</v>
      </c>
      <c r="M15" s="37">
        <f>-Input!P29</f>
        <v>-31.42</v>
      </c>
      <c r="N15" s="37">
        <f>-Input!Q29</f>
        <v>-34.206000000000003</v>
      </c>
      <c r="O15" s="37">
        <f>-Input!R29</f>
        <v>-32.213400000000007</v>
      </c>
      <c r="P15" s="37">
        <f>-Input!S29</f>
        <v>-34.420060000000007</v>
      </c>
      <c r="Q15" s="37">
        <f>-Input!T29</f>
        <v>-32.806054000000003</v>
      </c>
    </row>
    <row r="16" spans="1:17" x14ac:dyDescent="0.2">
      <c r="B16" s="44" t="s">
        <v>309</v>
      </c>
      <c r="C16" s="36">
        <v>0</v>
      </c>
      <c r="D16" s="36">
        <v>0</v>
      </c>
      <c r="E16" s="36">
        <v>0</v>
      </c>
      <c r="F16" s="36">
        <v>0</v>
      </c>
      <c r="G16" s="36">
        <v>-13.4</v>
      </c>
      <c r="H16" s="287">
        <f>Input!K45</f>
        <v>0</v>
      </c>
      <c r="I16" s="287">
        <f>Input!L45</f>
        <v>0</v>
      </c>
      <c r="J16" s="287">
        <f>Input!M45</f>
        <v>0</v>
      </c>
      <c r="K16" s="287">
        <f>Input!N45</f>
        <v>0</v>
      </c>
      <c r="L16" s="287">
        <f>Input!O45</f>
        <v>0</v>
      </c>
      <c r="M16" s="287">
        <f>Input!P45</f>
        <v>0</v>
      </c>
      <c r="N16" s="287">
        <f>Input!Q45</f>
        <v>0</v>
      </c>
      <c r="O16" s="287">
        <f>Input!R45</f>
        <v>0</v>
      </c>
      <c r="P16" s="287">
        <f>Input!S45</f>
        <v>0</v>
      </c>
      <c r="Q16" s="287">
        <f>Input!T45</f>
        <v>0</v>
      </c>
    </row>
    <row r="17" spans="2:17" x14ac:dyDescent="0.2">
      <c r="B17" s="82" t="s">
        <v>305</v>
      </c>
      <c r="C17" s="38">
        <f>C13+C14</f>
        <v>-374.6</v>
      </c>
      <c r="D17" s="38">
        <f>D13+D14</f>
        <v>-284.5</v>
      </c>
      <c r="E17" s="38">
        <f>E13+E14</f>
        <v>-230.79999999999998</v>
      </c>
      <c r="F17" s="38">
        <f>F13+F14</f>
        <v>-444.1</v>
      </c>
      <c r="G17" s="38">
        <f>G13+G14</f>
        <v>-375.9</v>
      </c>
      <c r="H17" s="38">
        <f t="shared" ref="H17:Q17" si="11">SUM(H13:H16)</f>
        <v>-423.29283999999996</v>
      </c>
      <c r="I17" s="38">
        <f t="shared" si="11"/>
        <v>-435.36143479999998</v>
      </c>
      <c r="J17" s="38">
        <f t="shared" si="11"/>
        <v>-447.40521957600004</v>
      </c>
      <c r="K17" s="38">
        <f t="shared" si="11"/>
        <v>-469.53225485376004</v>
      </c>
      <c r="L17" s="38">
        <f t="shared" si="11"/>
        <v>-480.94419238707849</v>
      </c>
      <c r="M17" s="38">
        <f t="shared" si="11"/>
        <v>-493.94522091909386</v>
      </c>
      <c r="N17" s="38">
        <f t="shared" si="11"/>
        <v>-520.44620827289623</v>
      </c>
      <c r="O17" s="38">
        <f t="shared" si="11"/>
        <v>-532.66123436349119</v>
      </c>
      <c r="P17" s="38">
        <f t="shared" si="11"/>
        <v>-556.18792884334096</v>
      </c>
      <c r="Q17" s="38">
        <f t="shared" si="11"/>
        <v>-570.89542236001319</v>
      </c>
    </row>
    <row r="18" spans="2:17" x14ac:dyDescent="0.2"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</row>
    <row r="19" spans="2:17" x14ac:dyDescent="0.2">
      <c r="B19" s="7" t="s">
        <v>80</v>
      </c>
      <c r="C19" s="35">
        <f t="shared" ref="C19:Q19" si="12">C11+C17</f>
        <v>209.79999999999995</v>
      </c>
      <c r="D19" s="35">
        <f t="shared" si="12"/>
        <v>352.39999999999986</v>
      </c>
      <c r="E19" s="35">
        <f t="shared" si="12"/>
        <v>409.40000000000009</v>
      </c>
      <c r="F19" s="35">
        <f t="shared" si="12"/>
        <v>213</v>
      </c>
      <c r="G19" s="35">
        <f t="shared" si="12"/>
        <v>311.80000000000007</v>
      </c>
      <c r="H19" s="35">
        <f t="shared" si="12"/>
        <v>314.5992550000002</v>
      </c>
      <c r="I19" s="35">
        <f t="shared" si="12"/>
        <v>364.87574165000001</v>
      </c>
      <c r="J19" s="35">
        <f t="shared" si="12"/>
        <v>418.3979398890001</v>
      </c>
      <c r="K19" s="35">
        <f t="shared" si="12"/>
        <v>443.9058592854999</v>
      </c>
      <c r="L19" s="35">
        <f t="shared" si="12"/>
        <v>479.99399401386256</v>
      </c>
      <c r="M19" s="35">
        <f t="shared" si="12"/>
        <v>501.06920122944103</v>
      </c>
      <c r="N19" s="35">
        <f t="shared" si="12"/>
        <v>531.79695441661534</v>
      </c>
      <c r="O19" s="35">
        <f t="shared" si="12"/>
        <v>552.00762965135016</v>
      </c>
      <c r="P19" s="35">
        <f t="shared" si="12"/>
        <v>580.24061406982503</v>
      </c>
      <c r="Q19" s="35">
        <f t="shared" si="12"/>
        <v>603.31183576866567</v>
      </c>
    </row>
    <row r="20" spans="2:17" x14ac:dyDescent="0.2"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1" spans="2:17" x14ac:dyDescent="0.2">
      <c r="B21" s="1" t="s">
        <v>81</v>
      </c>
      <c r="C21" s="36">
        <v>-28.6</v>
      </c>
      <c r="D21" s="36">
        <v>-41.1</v>
      </c>
      <c r="E21" s="36">
        <v>-82.3</v>
      </c>
      <c r="F21" s="36">
        <v>-85</v>
      </c>
      <c r="G21" s="36">
        <v>-96.4</v>
      </c>
      <c r="H21" s="37">
        <f>Input!K107</f>
        <v>-86.295000000000002</v>
      </c>
      <c r="I21" s="37">
        <f>Input!L107</f>
        <v>-91.992332312343535</v>
      </c>
      <c r="J21" s="37">
        <f>Input!M107</f>
        <v>-87.620304329506482</v>
      </c>
      <c r="K21" s="37">
        <f>Input!N107</f>
        <v>-83.474711734300314</v>
      </c>
      <c r="L21" s="37">
        <f>Input!O107</f>
        <v>-86.693908426471566</v>
      </c>
      <c r="M21" s="37">
        <f>Input!P107</f>
        <v>-79.778539154521994</v>
      </c>
      <c r="N21" s="37">
        <f>Input!Q107</f>
        <v>-72.435200999582165</v>
      </c>
      <c r="O21" s="37">
        <f>Input!R107</f>
        <v>-75.12223970709195</v>
      </c>
      <c r="P21" s="37">
        <f>Input!S107</f>
        <v>-64.438852586074461</v>
      </c>
      <c r="Q21" s="37">
        <f>Input!T107</f>
        <v>-64.426446888652421</v>
      </c>
    </row>
    <row r="22" spans="2:17" x14ac:dyDescent="0.2">
      <c r="B22" s="1" t="s">
        <v>37</v>
      </c>
      <c r="C22" s="36">
        <v>2.1</v>
      </c>
      <c r="D22" s="36">
        <v>2.4</v>
      </c>
      <c r="E22" s="36">
        <v>3.9</v>
      </c>
      <c r="F22" s="36">
        <v>6.5</v>
      </c>
      <c r="G22" s="36">
        <v>4.5999999999999996</v>
      </c>
      <c r="H22" s="37">
        <f>Input!K32</f>
        <v>0</v>
      </c>
      <c r="I22" s="37">
        <f>Input!L32</f>
        <v>0</v>
      </c>
      <c r="J22" s="37">
        <f>Input!M32</f>
        <v>0</v>
      </c>
      <c r="K22" s="37">
        <f>Input!N32</f>
        <v>0</v>
      </c>
      <c r="L22" s="37">
        <f>Input!O32</f>
        <v>0</v>
      </c>
      <c r="M22" s="37">
        <f>Input!P32</f>
        <v>0</v>
      </c>
      <c r="N22" s="37">
        <f>Input!Q32</f>
        <v>0</v>
      </c>
      <c r="O22" s="37">
        <f>Input!R32</f>
        <v>0</v>
      </c>
      <c r="P22" s="37">
        <f>Input!S32</f>
        <v>0</v>
      </c>
      <c r="Q22" s="37">
        <f>Input!T32</f>
        <v>0</v>
      </c>
    </row>
    <row r="23" spans="2:17" x14ac:dyDescent="0.2">
      <c r="B23" s="1" t="s">
        <v>38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7">
        <f>Input!K33</f>
        <v>0</v>
      </c>
      <c r="I23" s="37">
        <f>Input!L33</f>
        <v>0</v>
      </c>
      <c r="J23" s="37">
        <f>Input!M33</f>
        <v>0</v>
      </c>
      <c r="K23" s="37">
        <f>Input!N33</f>
        <v>0</v>
      </c>
      <c r="L23" s="37">
        <f>Input!O33</f>
        <v>0</v>
      </c>
      <c r="M23" s="37">
        <f>Input!P33</f>
        <v>0</v>
      </c>
      <c r="N23" s="37">
        <f>Input!Q33</f>
        <v>0</v>
      </c>
      <c r="O23" s="37">
        <f>Input!R33</f>
        <v>0</v>
      </c>
      <c r="P23" s="37">
        <f>Input!S33</f>
        <v>0</v>
      </c>
      <c r="Q23" s="37">
        <f>Input!T33</f>
        <v>0</v>
      </c>
    </row>
    <row r="24" spans="2:17" x14ac:dyDescent="0.2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</row>
    <row r="25" spans="2:17" x14ac:dyDescent="0.2">
      <c r="B25" s="7" t="s">
        <v>82</v>
      </c>
      <c r="C25" s="35">
        <f t="shared" ref="C25:Q25" si="13">C19+SUM(C21:C23)</f>
        <v>183.29999999999995</v>
      </c>
      <c r="D25" s="35">
        <f t="shared" si="13"/>
        <v>313.69999999999987</v>
      </c>
      <c r="E25" s="35">
        <f t="shared" si="13"/>
        <v>331.00000000000011</v>
      </c>
      <c r="F25" s="35">
        <f t="shared" si="13"/>
        <v>134.5</v>
      </c>
      <c r="G25" s="35">
        <f t="shared" si="13"/>
        <v>220.00000000000006</v>
      </c>
      <c r="H25" s="35">
        <f t="shared" si="13"/>
        <v>228.30425500000018</v>
      </c>
      <c r="I25" s="35">
        <f t="shared" si="13"/>
        <v>272.88340933765647</v>
      </c>
      <c r="J25" s="35">
        <f t="shared" si="13"/>
        <v>330.7776355594936</v>
      </c>
      <c r="K25" s="35">
        <f t="shared" si="13"/>
        <v>360.43114755119962</v>
      </c>
      <c r="L25" s="35">
        <f t="shared" si="13"/>
        <v>393.30008558739098</v>
      </c>
      <c r="M25" s="35">
        <f t="shared" si="13"/>
        <v>421.29066207491906</v>
      </c>
      <c r="N25" s="35">
        <f t="shared" si="13"/>
        <v>459.36175341703319</v>
      </c>
      <c r="O25" s="35">
        <f t="shared" si="13"/>
        <v>476.88538994425824</v>
      </c>
      <c r="P25" s="35">
        <f t="shared" si="13"/>
        <v>515.80176148375062</v>
      </c>
      <c r="Q25" s="35">
        <f t="shared" si="13"/>
        <v>538.88538888001324</v>
      </c>
    </row>
    <row r="26" spans="2:17" x14ac:dyDescent="0.2">
      <c r="B26" s="1" t="s">
        <v>83</v>
      </c>
      <c r="C26" s="36">
        <v>-53.5</v>
      </c>
      <c r="D26" s="36">
        <v>-79.599999999999994</v>
      </c>
      <c r="E26" s="36">
        <v>-79.8</v>
      </c>
      <c r="F26" s="36">
        <v>-52.2</v>
      </c>
      <c r="G26" s="36">
        <v>-57.5</v>
      </c>
      <c r="H26" s="37">
        <f t="shared" ref="H26:Q26" si="14">-H25*H29</f>
        <v>-57.076063750000046</v>
      </c>
      <c r="I26" s="37">
        <f t="shared" si="14"/>
        <v>-68.220852334414118</v>
      </c>
      <c r="J26" s="37">
        <f t="shared" si="14"/>
        <v>-82.694408889873401</v>
      </c>
      <c r="K26" s="37">
        <f t="shared" si="14"/>
        <v>-90.107786887799904</v>
      </c>
      <c r="L26" s="37">
        <f t="shared" si="14"/>
        <v>-98.325021396847745</v>
      </c>
      <c r="M26" s="37">
        <f t="shared" si="14"/>
        <v>-105.32266551872976</v>
      </c>
      <c r="N26" s="37">
        <f t="shared" si="14"/>
        <v>-114.8404383542583</v>
      </c>
      <c r="O26" s="37">
        <f t="shared" si="14"/>
        <v>-119.22134748606456</v>
      </c>
      <c r="P26" s="37">
        <f t="shared" si="14"/>
        <v>-128.95044037093766</v>
      </c>
      <c r="Q26" s="37">
        <f t="shared" si="14"/>
        <v>-134.72134722000331</v>
      </c>
    </row>
    <row r="27" spans="2:17" x14ac:dyDescent="0.2">
      <c r="B27" s="1" t="s">
        <v>84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7">
        <f>Input!K34</f>
        <v>0</v>
      </c>
      <c r="I27" s="37">
        <f>Input!L34</f>
        <v>0</v>
      </c>
      <c r="J27" s="37">
        <f>Input!M34</f>
        <v>0</v>
      </c>
      <c r="K27" s="37">
        <f>Input!N34</f>
        <v>0</v>
      </c>
      <c r="L27" s="37">
        <f>Input!O34</f>
        <v>0</v>
      </c>
      <c r="M27" s="37">
        <f>Input!P34</f>
        <v>0</v>
      </c>
      <c r="N27" s="37">
        <f>Input!Q34</f>
        <v>0</v>
      </c>
      <c r="O27" s="37">
        <f>Input!R34</f>
        <v>0</v>
      </c>
      <c r="P27" s="37">
        <f>Input!S34</f>
        <v>0</v>
      </c>
      <c r="Q27" s="37">
        <f>Input!T34</f>
        <v>0</v>
      </c>
    </row>
    <row r="28" spans="2:17" s="7" customFormat="1" ht="16" thickBot="1" x14ac:dyDescent="0.25">
      <c r="B28" s="27" t="s">
        <v>85</v>
      </c>
      <c r="C28" s="39">
        <f t="shared" ref="C28:Q28" si="15">C25+C26+C27</f>
        <v>129.79999999999995</v>
      </c>
      <c r="D28" s="39">
        <f t="shared" si="15"/>
        <v>234.09999999999988</v>
      </c>
      <c r="E28" s="39">
        <f t="shared" si="15"/>
        <v>251.2000000000001</v>
      </c>
      <c r="F28" s="39">
        <f t="shared" si="15"/>
        <v>82.3</v>
      </c>
      <c r="G28" s="39">
        <f t="shared" si="15"/>
        <v>162.50000000000006</v>
      </c>
      <c r="H28" s="39">
        <f t="shared" si="15"/>
        <v>171.22819125000012</v>
      </c>
      <c r="I28" s="39">
        <f t="shared" si="15"/>
        <v>204.66255700324234</v>
      </c>
      <c r="J28" s="39">
        <f t="shared" si="15"/>
        <v>248.08322666962022</v>
      </c>
      <c r="K28" s="39">
        <f t="shared" si="15"/>
        <v>270.32336066339974</v>
      </c>
      <c r="L28" s="39">
        <f t="shared" si="15"/>
        <v>294.97506419054321</v>
      </c>
      <c r="M28" s="39">
        <f t="shared" si="15"/>
        <v>315.96799655618929</v>
      </c>
      <c r="N28" s="39">
        <f t="shared" si="15"/>
        <v>344.52131506277487</v>
      </c>
      <c r="O28" s="39">
        <f t="shared" si="15"/>
        <v>357.66404245819365</v>
      </c>
      <c r="P28" s="39">
        <f t="shared" si="15"/>
        <v>386.85132111281297</v>
      </c>
      <c r="Q28" s="39">
        <f t="shared" si="15"/>
        <v>404.16404166000996</v>
      </c>
    </row>
    <row r="29" spans="2:17" x14ac:dyDescent="0.2">
      <c r="B29" s="1" t="s">
        <v>40</v>
      </c>
      <c r="C29" s="24">
        <f>-C26/C25</f>
        <v>0.29187124931805791</v>
      </c>
      <c r="D29" s="24">
        <f>-D26/D25</f>
        <v>0.25374561683136765</v>
      </c>
      <c r="E29" s="24">
        <f>-E26/E25</f>
        <v>0.24108761329305126</v>
      </c>
      <c r="F29" s="24">
        <f>-F26/F25</f>
        <v>0.38810408921933087</v>
      </c>
      <c r="G29" s="24">
        <f>-G26/G25</f>
        <v>0.2613636363636363</v>
      </c>
      <c r="H29" s="24">
        <f>Input!K35</f>
        <v>0.25</v>
      </c>
      <c r="I29" s="24">
        <f>Input!L35</f>
        <v>0.25</v>
      </c>
      <c r="J29" s="24">
        <f>Input!M35</f>
        <v>0.25</v>
      </c>
      <c r="K29" s="24">
        <f>Input!N35</f>
        <v>0.25</v>
      </c>
      <c r="L29" s="24">
        <f>Input!O35</f>
        <v>0.25</v>
      </c>
      <c r="M29" s="24">
        <f>Input!P35</f>
        <v>0.25</v>
      </c>
      <c r="N29" s="24">
        <f>Input!Q35</f>
        <v>0.25</v>
      </c>
      <c r="O29" s="24">
        <f>Input!R35</f>
        <v>0.25</v>
      </c>
      <c r="P29" s="24">
        <f>Input!S35</f>
        <v>0.25</v>
      </c>
      <c r="Q29" s="24">
        <f>Input!T35</f>
        <v>0.25</v>
      </c>
    </row>
    <row r="30" spans="2:17" x14ac:dyDescent="0.2">
      <c r="B30" s="1" t="s">
        <v>41</v>
      </c>
      <c r="C30" s="55">
        <v>0.2</v>
      </c>
      <c r="D30" s="55">
        <v>0.2</v>
      </c>
      <c r="E30" s="55">
        <v>0.2</v>
      </c>
      <c r="F30" s="55">
        <v>0.2</v>
      </c>
      <c r="G30" s="55">
        <v>0.2</v>
      </c>
      <c r="H30" s="24">
        <f>Input!K36</f>
        <v>0.2</v>
      </c>
      <c r="I30" s="24">
        <f>Input!L36</f>
        <v>0.2</v>
      </c>
      <c r="J30" s="24">
        <f>Input!M36</f>
        <v>0.2</v>
      </c>
      <c r="K30" s="24">
        <f>Input!N36</f>
        <v>0.2</v>
      </c>
      <c r="L30" s="24">
        <f>Input!O36</f>
        <v>0.2</v>
      </c>
      <c r="M30" s="24">
        <f>Input!P36</f>
        <v>0.2</v>
      </c>
      <c r="N30" s="24">
        <f>Input!Q36</f>
        <v>0.2</v>
      </c>
      <c r="O30" s="24">
        <f>Input!R36</f>
        <v>0.2</v>
      </c>
      <c r="P30" s="24">
        <f>Input!S36</f>
        <v>0.2</v>
      </c>
      <c r="Q30" s="24">
        <f>Input!T36</f>
        <v>0.2</v>
      </c>
    </row>
    <row r="32" spans="2:17" x14ac:dyDescent="0.2">
      <c r="B32" s="29" t="s">
        <v>86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2:17" x14ac:dyDescent="0.2">
      <c r="B33" s="1" t="s">
        <v>87</v>
      </c>
      <c r="C33" s="243">
        <f>C144</f>
        <v>89.9</v>
      </c>
      <c r="D33" s="243">
        <f t="shared" ref="D33:G33" si="16">D144</f>
        <v>112.4</v>
      </c>
      <c r="E33" s="243">
        <f t="shared" si="16"/>
        <v>120.7</v>
      </c>
      <c r="F33" s="243">
        <f t="shared" si="16"/>
        <v>106.6</v>
      </c>
      <c r="G33" s="243">
        <f t="shared" si="16"/>
        <v>105.6</v>
      </c>
      <c r="H33" s="37">
        <f>H144</f>
        <v>106.25999999999999</v>
      </c>
      <c r="I33" s="37">
        <f t="shared" ref="I33:Q33" si="17">I144</f>
        <v>103.5357367543649</v>
      </c>
      <c r="J33" s="37">
        <f t="shared" si="17"/>
        <v>100.96513408541145</v>
      </c>
      <c r="K33" s="37">
        <f t="shared" si="17"/>
        <v>102.38165666912633</v>
      </c>
      <c r="L33" s="37">
        <f t="shared" si="17"/>
        <v>100.92995153281208</v>
      </c>
      <c r="M33" s="37">
        <f t="shared" si="17"/>
        <v>101.04135743962324</v>
      </c>
      <c r="N33" s="37">
        <f t="shared" si="17"/>
        <v>106.23510516834241</v>
      </c>
      <c r="O33" s="37">
        <f t="shared" si="17"/>
        <v>107.935642841524</v>
      </c>
      <c r="P33" s="37">
        <f t="shared" si="17"/>
        <v>112.3548580657308</v>
      </c>
      <c r="Q33" s="37">
        <f t="shared" si="17"/>
        <v>114.06102345593139</v>
      </c>
    </row>
    <row r="34" spans="2:17" x14ac:dyDescent="0.2">
      <c r="B34" s="1" t="s">
        <v>88</v>
      </c>
      <c r="C34" s="51">
        <f t="shared" ref="C34:Q34" si="18">C19+C144</f>
        <v>299.69999999999993</v>
      </c>
      <c r="D34" s="51">
        <f t="shared" si="18"/>
        <v>464.79999999999984</v>
      </c>
      <c r="E34" s="51">
        <f t="shared" si="18"/>
        <v>530.10000000000014</v>
      </c>
      <c r="F34" s="51">
        <f t="shared" si="18"/>
        <v>319.60000000000002</v>
      </c>
      <c r="G34" s="51">
        <f t="shared" si="18"/>
        <v>417.40000000000009</v>
      </c>
      <c r="H34" s="51">
        <f t="shared" si="18"/>
        <v>420.85925500000019</v>
      </c>
      <c r="I34" s="51">
        <f t="shared" si="18"/>
        <v>468.41147840436491</v>
      </c>
      <c r="J34" s="51">
        <f t="shared" si="18"/>
        <v>519.36307397441158</v>
      </c>
      <c r="K34" s="51">
        <f t="shared" si="18"/>
        <v>546.2875159546262</v>
      </c>
      <c r="L34" s="51">
        <f t="shared" si="18"/>
        <v>580.92394554667464</v>
      </c>
      <c r="M34" s="51">
        <f t="shared" si="18"/>
        <v>602.11055866906429</v>
      </c>
      <c r="N34" s="51">
        <f t="shared" si="18"/>
        <v>638.03205958495778</v>
      </c>
      <c r="O34" s="51">
        <f t="shared" si="18"/>
        <v>659.94327249287414</v>
      </c>
      <c r="P34" s="51">
        <f t="shared" si="18"/>
        <v>692.59547213555584</v>
      </c>
      <c r="Q34" s="51">
        <f t="shared" si="18"/>
        <v>717.37285922459705</v>
      </c>
    </row>
    <row r="35" spans="2:17" x14ac:dyDescent="0.2">
      <c r="B35" s="1" t="s">
        <v>89</v>
      </c>
      <c r="C35" s="37">
        <f>C155</f>
        <v>-34.299999999999997</v>
      </c>
      <c r="D35" s="37">
        <f t="shared" ref="D35:Q35" si="19">D155</f>
        <v>-50.8</v>
      </c>
      <c r="E35" s="37">
        <f t="shared" si="19"/>
        <v>-52.6</v>
      </c>
      <c r="F35" s="37">
        <f t="shared" si="19"/>
        <v>-59.4</v>
      </c>
      <c r="G35" s="37">
        <f t="shared" si="19"/>
        <v>-79.3</v>
      </c>
      <c r="H35" s="37">
        <f t="shared" si="19"/>
        <v>-65.014747</v>
      </c>
      <c r="I35" s="37">
        <f t="shared" si="19"/>
        <v>-68.194251089999995</v>
      </c>
      <c r="J35" s="37">
        <f t="shared" si="19"/>
        <v>-71.246913425800003</v>
      </c>
      <c r="K35" s="37">
        <f t="shared" si="19"/>
        <v>-75.346644599408009</v>
      </c>
      <c r="L35" s="37">
        <f t="shared" si="19"/>
        <v>-78.236233667738745</v>
      </c>
      <c r="M35" s="37">
        <f t="shared" si="19"/>
        <v>-80.941913660841422</v>
      </c>
      <c r="N35" s="37">
        <f t="shared" si="19"/>
        <v>-85.09203644775684</v>
      </c>
      <c r="O35" s="37">
        <f t="shared" si="19"/>
        <v>-87.578371013610948</v>
      </c>
      <c r="P35" s="37">
        <f t="shared" si="19"/>
        <v>-91.309377047584661</v>
      </c>
      <c r="Q35" s="37">
        <f t="shared" si="19"/>
        <v>-94.165639463002307</v>
      </c>
    </row>
    <row r="36" spans="2:17" x14ac:dyDescent="0.2">
      <c r="B36" s="1" t="s">
        <v>90</v>
      </c>
      <c r="C36" s="37">
        <f>C147</f>
        <v>156.30000000000001</v>
      </c>
      <c r="D36" s="37">
        <f t="shared" ref="D36:Q36" si="20">D147</f>
        <v>-272.79999999999995</v>
      </c>
      <c r="E36" s="37">
        <f t="shared" si="20"/>
        <v>-304.39999999999998</v>
      </c>
      <c r="F36" s="37">
        <f t="shared" si="20"/>
        <v>-88.40000000000002</v>
      </c>
      <c r="G36" s="37">
        <f t="shared" si="20"/>
        <v>3.2000000000000028</v>
      </c>
      <c r="H36" s="37">
        <f t="shared" si="20"/>
        <v>-20.50022059942782</v>
      </c>
      <c r="I36" s="37">
        <f t="shared" si="20"/>
        <v>-68.910983241870383</v>
      </c>
      <c r="J36" s="37">
        <f t="shared" si="20"/>
        <v>-66.454702552352643</v>
      </c>
      <c r="K36" s="37">
        <f t="shared" si="20"/>
        <v>-77.611555249200507</v>
      </c>
      <c r="L36" s="37">
        <f t="shared" si="20"/>
        <v>-62.213478807103513</v>
      </c>
      <c r="M36" s="37">
        <f t="shared" si="20"/>
        <v>-57.869826400623481</v>
      </c>
      <c r="N36" s="37">
        <f t="shared" si="20"/>
        <v>-76.811165177771159</v>
      </c>
      <c r="O36" s="37">
        <f t="shared" si="20"/>
        <v>-53.243953650546246</v>
      </c>
      <c r="P36" s="37">
        <f t="shared" si="20"/>
        <v>-70.292310141027542</v>
      </c>
      <c r="Q36" s="37">
        <f t="shared" si="20"/>
        <v>-61.222997217435875</v>
      </c>
    </row>
    <row r="37" spans="2:17" x14ac:dyDescent="0.2">
      <c r="B37" s="1" t="s">
        <v>91</v>
      </c>
      <c r="C37" s="37">
        <f>C152+C155</f>
        <v>283.49999999999994</v>
      </c>
      <c r="D37" s="37">
        <f t="shared" ref="D37:Q37" si="21">D152+D155</f>
        <v>-0.60000000000006537</v>
      </c>
      <c r="E37" s="37">
        <f t="shared" si="21"/>
        <v>35.000000000000135</v>
      </c>
      <c r="F37" s="37">
        <f t="shared" si="21"/>
        <v>170.49999999999991</v>
      </c>
      <c r="G37" s="37">
        <f t="shared" si="21"/>
        <v>200.5</v>
      </c>
      <c r="H37" s="37">
        <f t="shared" si="21"/>
        <v>224.48059715057224</v>
      </c>
      <c r="I37" s="37">
        <f t="shared" si="21"/>
        <v>205.19018497073685</v>
      </c>
      <c r="J37" s="37">
        <f t="shared" si="21"/>
        <v>246.97020148977901</v>
      </c>
      <c r="K37" s="37">
        <f t="shared" si="21"/>
        <v>257.42013978362149</v>
      </c>
      <c r="L37" s="37">
        <f t="shared" si="21"/>
        <v>294.57342008238237</v>
      </c>
      <c r="M37" s="37">
        <f t="shared" si="21"/>
        <v>318.66857076476839</v>
      </c>
      <c r="N37" s="37">
        <f t="shared" si="21"/>
        <v>331.39923682946778</v>
      </c>
      <c r="O37" s="37">
        <f t="shared" si="21"/>
        <v>368.56654614236595</v>
      </c>
      <c r="P37" s="37">
        <f t="shared" si="21"/>
        <v>383.25918051372389</v>
      </c>
      <c r="Q37" s="37">
        <f t="shared" si="21"/>
        <v>409.91924816700424</v>
      </c>
    </row>
    <row r="38" spans="2:17" x14ac:dyDescent="0.2">
      <c r="B38" s="1" t="s">
        <v>92</v>
      </c>
      <c r="C38" s="36">
        <v>-33.5</v>
      </c>
      <c r="D38" s="36">
        <v>-30.5</v>
      </c>
      <c r="E38" s="36">
        <v>-30.5</v>
      </c>
      <c r="F38" s="36">
        <v>-30</v>
      </c>
      <c r="G38" s="36">
        <v>-38</v>
      </c>
      <c r="H38" s="37">
        <f>H9*Input!K42</f>
        <v>-32.5073735</v>
      </c>
      <c r="I38" s="37">
        <f>I9*Input!L42</f>
        <v>-34.097125544999997</v>
      </c>
      <c r="J38" s="37">
        <f>J9*Input!M42</f>
        <v>-35.623456712900001</v>
      </c>
      <c r="K38" s="37">
        <f>K9*Input!N42</f>
        <v>-37.673322299704004</v>
      </c>
      <c r="L38" s="37">
        <f>L9*Input!O42</f>
        <v>-39.118116833869372</v>
      </c>
      <c r="M38" s="37">
        <f>M9*Input!P42</f>
        <v>-40.470956830420711</v>
      </c>
      <c r="N38" s="37">
        <f>N9*Input!Q42</f>
        <v>-42.54601822387842</v>
      </c>
      <c r="O38" s="37">
        <f>O9*Input!R42</f>
        <v>-43.789185506805474</v>
      </c>
      <c r="P38" s="37">
        <f>P9*Input!S42</f>
        <v>-45.654688523792331</v>
      </c>
      <c r="Q38" s="37">
        <f>Q9*Input!T42</f>
        <v>-47.082819731501154</v>
      </c>
    </row>
    <row r="39" spans="2:17" x14ac:dyDescent="0.2">
      <c r="B39" s="29" t="s">
        <v>93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  <row r="40" spans="2:17" x14ac:dyDescent="0.2">
      <c r="B40" s="1" t="s">
        <v>94</v>
      </c>
      <c r="C40" s="308">
        <f t="shared" ref="C40:Q40" si="22">C28/C201</f>
        <v>1.9258160237388715</v>
      </c>
      <c r="D40" s="308">
        <f t="shared" si="22"/>
        <v>3.4888226527570776</v>
      </c>
      <c r="E40" s="308">
        <f t="shared" si="22"/>
        <v>3.8060606060606075</v>
      </c>
      <c r="F40" s="308">
        <f t="shared" si="22"/>
        <v>1.3022151898734176</v>
      </c>
      <c r="G40" s="308">
        <f t="shared" si="22"/>
        <v>2.6083467094703061</v>
      </c>
      <c r="H40" s="308">
        <f t="shared" si="22"/>
        <v>2.8162531455592128</v>
      </c>
      <c r="I40" s="308">
        <f t="shared" si="22"/>
        <v>3.5105069811876906</v>
      </c>
      <c r="J40" s="308">
        <f t="shared" si="22"/>
        <v>4.4459359618211511</v>
      </c>
      <c r="K40" s="308">
        <f t="shared" si="22"/>
        <v>4.9783307672817632</v>
      </c>
      <c r="L40" s="308">
        <f t="shared" si="22"/>
        <v>5.694499308697746</v>
      </c>
      <c r="M40" s="308">
        <f t="shared" si="22"/>
        <v>6.4090871512411622</v>
      </c>
      <c r="N40" s="308">
        <f t="shared" si="22"/>
        <v>7.2075588925266718</v>
      </c>
      <c r="O40" s="308">
        <f t="shared" si="22"/>
        <v>7.809258568956194</v>
      </c>
      <c r="P40" s="308">
        <f t="shared" si="22"/>
        <v>8.8322219432149094</v>
      </c>
      <c r="Q40" s="308">
        <f t="shared" si="22"/>
        <v>9.5547054765959807</v>
      </c>
    </row>
    <row r="41" spans="2:17" x14ac:dyDescent="0.2">
      <c r="B41" s="1" t="s">
        <v>95</v>
      </c>
      <c r="C41" s="308">
        <f t="shared" ref="C41:Q41" si="23">C28/C202</f>
        <v>1.9088235294117641</v>
      </c>
      <c r="D41" s="308">
        <f t="shared" si="23"/>
        <v>3.4681481481481464</v>
      </c>
      <c r="E41" s="308">
        <f t="shared" si="23"/>
        <v>3.7888386123680258</v>
      </c>
      <c r="F41" s="308">
        <f t="shared" si="23"/>
        <v>1.2940251572327044</v>
      </c>
      <c r="G41" s="308">
        <f t="shared" si="23"/>
        <v>2.591706539074961</v>
      </c>
      <c r="H41" s="308">
        <f t="shared" si="23"/>
        <v>2.7978462622549038</v>
      </c>
      <c r="I41" s="308">
        <f t="shared" si="23"/>
        <v>3.4865852981813004</v>
      </c>
      <c r="J41" s="308">
        <f t="shared" si="23"/>
        <v>4.4142922894950214</v>
      </c>
      <c r="K41" s="308">
        <f t="shared" si="23"/>
        <v>4.9419261547239435</v>
      </c>
      <c r="L41" s="308">
        <f t="shared" si="23"/>
        <v>5.6508632986694094</v>
      </c>
      <c r="M41" s="308">
        <f t="shared" si="23"/>
        <v>6.3575049608891199</v>
      </c>
      <c r="N41" s="308">
        <f t="shared" si="23"/>
        <v>7.147745125783711</v>
      </c>
      <c r="O41" s="308">
        <f t="shared" si="23"/>
        <v>7.7416459406535418</v>
      </c>
      <c r="P41" s="308">
        <f t="shared" si="23"/>
        <v>8.7522923328690716</v>
      </c>
      <c r="Q41" s="308">
        <f t="shared" si="23"/>
        <v>9.4652000388761106</v>
      </c>
    </row>
    <row r="42" spans="2:17" x14ac:dyDescent="0.2">
      <c r="B42" s="1" t="s">
        <v>96</v>
      </c>
      <c r="C42" s="309">
        <f t="shared" ref="C42:Q42" si="24">(C64+C65-C89)/C201</f>
        <v>-18.145400593471809</v>
      </c>
      <c r="D42" s="309">
        <f t="shared" si="24"/>
        <v>-19.078986587183312</v>
      </c>
      <c r="E42" s="309">
        <f t="shared" si="24"/>
        <v>-15.290909090909091</v>
      </c>
      <c r="F42" s="309">
        <f t="shared" si="24"/>
        <v>-17.748417721518987</v>
      </c>
      <c r="G42" s="309">
        <f t="shared" si="24"/>
        <v>-16.178170144462282</v>
      </c>
      <c r="H42" s="309">
        <f t="shared" si="24"/>
        <v>-17.490321356411076</v>
      </c>
      <c r="I42" s="309">
        <f t="shared" si="24"/>
        <v>-18.650922851882939</v>
      </c>
      <c r="J42" s="309">
        <f t="shared" si="24"/>
        <v>-19.893159482765792</v>
      </c>
      <c r="K42" s="309">
        <f t="shared" si="24"/>
        <v>-21.218187272627077</v>
      </c>
      <c r="L42" s="309">
        <f t="shared" si="24"/>
        <v>-22.670197008893727</v>
      </c>
      <c r="M42" s="309">
        <f t="shared" si="24"/>
        <v>-24.248640151902375</v>
      </c>
      <c r="N42" s="309">
        <f t="shared" si="24"/>
        <v>-25.938057762745828</v>
      </c>
      <c r="O42" s="309">
        <f t="shared" si="24"/>
        <v>-27.493481171225742</v>
      </c>
      <c r="P42" s="309">
        <f t="shared" si="24"/>
        <v>-29.631561603690326</v>
      </c>
      <c r="Q42" s="309">
        <f t="shared" si="24"/>
        <v>-31.089894437734884</v>
      </c>
    </row>
    <row r="43" spans="2:17" x14ac:dyDescent="0.2">
      <c r="B43" s="1" t="s">
        <v>97</v>
      </c>
      <c r="C43" s="244">
        <v>0.76</v>
      </c>
      <c r="D43" s="244">
        <v>0.78</v>
      </c>
      <c r="E43" s="244">
        <v>0.88</v>
      </c>
      <c r="F43" s="244">
        <v>0.9</v>
      </c>
      <c r="G43" s="244">
        <v>1.06</v>
      </c>
      <c r="H43" s="308">
        <f>-Input!K88/Model!H201</f>
        <v>0.84487594366776375</v>
      </c>
      <c r="I43" s="308">
        <f>-Input!L88/Model!I201</f>
        <v>1.0531520943563071</v>
      </c>
      <c r="J43" s="308">
        <f>-Input!M88/Model!J201</f>
        <v>1.7783743847284605</v>
      </c>
      <c r="K43" s="308">
        <f>-Input!N88/Model!K201</f>
        <v>1.742415768548617</v>
      </c>
      <c r="L43" s="308">
        <f>-Input!O88/Model!L201</f>
        <v>1.7083497926093236</v>
      </c>
      <c r="M43" s="308">
        <f>-Input!P88/Model!M201</f>
        <v>1.9227261453723488</v>
      </c>
      <c r="N43" s="308">
        <f>-Input!Q88/Model!N201</f>
        <v>2.1622676677580013</v>
      </c>
      <c r="O43" s="308">
        <f>-Input!R88/Model!O201</f>
        <v>2.3427775706868581</v>
      </c>
      <c r="P43" s="308">
        <f>-Input!S88/Model!P201</f>
        <v>2.6496665829644725</v>
      </c>
      <c r="Q43" s="308">
        <f>-Input!T88/Model!Q201</f>
        <v>2.866411642978794</v>
      </c>
    </row>
    <row r="44" spans="2:17" x14ac:dyDescent="0.2">
      <c r="B44" s="29" t="s">
        <v>98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</row>
    <row r="45" spans="2:17" x14ac:dyDescent="0.2">
      <c r="B45" s="1" t="s">
        <v>99</v>
      </c>
    </row>
    <row r="46" spans="2:17" x14ac:dyDescent="0.2">
      <c r="B46" s="1" t="s">
        <v>100</v>
      </c>
    </row>
    <row r="47" spans="2:17" x14ac:dyDescent="0.2">
      <c r="B47" s="1" t="s">
        <v>101</v>
      </c>
      <c r="C47" s="34"/>
      <c r="D47" s="34"/>
      <c r="E47" s="34"/>
      <c r="F47" s="34"/>
      <c r="G47" s="34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 spans="2:17" x14ac:dyDescent="0.2">
      <c r="B48" s="29" t="s">
        <v>102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</row>
    <row r="49" spans="2:17" x14ac:dyDescent="0.2">
      <c r="B49" s="1" t="s">
        <v>103</v>
      </c>
      <c r="C49" s="24"/>
      <c r="D49" s="24">
        <f t="shared" ref="D49:Q49" si="25">D9/C9-1</f>
        <v>0.2249874466482551</v>
      </c>
      <c r="E49" s="24">
        <f t="shared" si="25"/>
        <v>3.7122434862808307E-2</v>
      </c>
      <c r="F49" s="24">
        <f t="shared" si="25"/>
        <v>3.2483572946000905E-2</v>
      </c>
      <c r="G49" s="24">
        <f t="shared" si="25"/>
        <v>4.6235375744670515E-2</v>
      </c>
      <c r="H49" s="24">
        <f t="shared" si="25"/>
        <v>6.1962862598474722E-2</v>
      </c>
      <c r="I49" s="24">
        <f t="shared" si="25"/>
        <v>4.8904352269493634E-2</v>
      </c>
      <c r="J49" s="24">
        <f t="shared" si="25"/>
        <v>4.4764218200317618E-2</v>
      </c>
      <c r="K49" s="24">
        <f t="shared" si="25"/>
        <v>5.7542579411214323E-2</v>
      </c>
      <c r="L49" s="24">
        <f t="shared" si="25"/>
        <v>3.8350600530304702E-2</v>
      </c>
      <c r="M49" s="24">
        <f t="shared" si="25"/>
        <v>3.4583464288342691E-2</v>
      </c>
      <c r="N49" s="24">
        <f t="shared" si="25"/>
        <v>5.1272852335874308E-2</v>
      </c>
      <c r="O49" s="24">
        <f t="shared" si="25"/>
        <v>2.9219356706554178E-2</v>
      </c>
      <c r="P49" s="24">
        <f t="shared" si="25"/>
        <v>4.2601911759626798E-2</v>
      </c>
      <c r="Q49" s="24">
        <f t="shared" si="25"/>
        <v>3.1281151046832267E-2</v>
      </c>
    </row>
    <row r="50" spans="2:17" x14ac:dyDescent="0.2">
      <c r="B50" s="1" t="s">
        <v>314</v>
      </c>
      <c r="C50" s="24"/>
      <c r="D50" s="24">
        <f t="shared" ref="D50:Q50" si="26">D10/C10-1</f>
        <v>0.23863243728836991</v>
      </c>
      <c r="E50" s="24">
        <f t="shared" si="26"/>
        <v>3.9959830955270004E-2</v>
      </c>
      <c r="F50" s="24">
        <f t="shared" si="26"/>
        <v>3.3006088892465479E-2</v>
      </c>
      <c r="G50" s="24">
        <f t="shared" si="26"/>
        <v>4.6206977136699301E-2</v>
      </c>
      <c r="H50" s="24">
        <f t="shared" si="26"/>
        <v>6.1022176788861238E-2</v>
      </c>
      <c r="I50" s="24">
        <f t="shared" si="26"/>
        <v>4.5833104918665768E-2</v>
      </c>
      <c r="J50" s="24">
        <f t="shared" si="26"/>
        <v>4.1437819065673454E-2</v>
      </c>
      <c r="K50" s="24">
        <f t="shared" si="26"/>
        <v>5.7777278247101327E-2</v>
      </c>
      <c r="L50" s="24">
        <f t="shared" si="26"/>
        <v>3.7084742065769616E-2</v>
      </c>
      <c r="M50" s="24">
        <f t="shared" si="26"/>
        <v>3.4500878948980684E-2</v>
      </c>
      <c r="N50" s="24">
        <f t="shared" si="26"/>
        <v>5.0685092611924887E-2</v>
      </c>
      <c r="O50" s="24">
        <f t="shared" si="26"/>
        <v>2.9068071673067575E-2</v>
      </c>
      <c r="P50" s="24">
        <f t="shared" si="26"/>
        <v>4.2116137589790048E-2</v>
      </c>
      <c r="Q50" s="24">
        <f t="shared" si="26"/>
        <v>3.1093884862493537E-2</v>
      </c>
    </row>
    <row r="51" spans="2:17" x14ac:dyDescent="0.2">
      <c r="B51" s="44" t="s">
        <v>315</v>
      </c>
      <c r="C51" s="24"/>
      <c r="D51" s="24">
        <f t="shared" ref="D51:Q51" si="27">D13/C13-1</f>
        <v>-0.24052322477309129</v>
      </c>
      <c r="E51" s="24">
        <f t="shared" si="27"/>
        <v>-0.20351493848857649</v>
      </c>
      <c r="F51" s="24">
        <f t="shared" si="27"/>
        <v>0.91129744042365424</v>
      </c>
      <c r="G51" s="24">
        <f t="shared" si="27"/>
        <v>-0.14453936735165096</v>
      </c>
      <c r="H51" s="24">
        <f t="shared" si="27"/>
        <v>2.7337112010796805E-3</v>
      </c>
      <c r="I51" s="24">
        <f t="shared" si="27"/>
        <v>4.8904352269493634E-2</v>
      </c>
      <c r="J51" s="24">
        <f t="shared" si="27"/>
        <v>4.4764218200317618E-2</v>
      </c>
      <c r="K51" s="24">
        <f t="shared" si="27"/>
        <v>5.7542579411214323E-2</v>
      </c>
      <c r="L51" s="24">
        <f t="shared" si="27"/>
        <v>3.8350600530304702E-2</v>
      </c>
      <c r="M51" s="24">
        <f t="shared" si="27"/>
        <v>3.4583464288342913E-2</v>
      </c>
      <c r="N51" s="24">
        <f t="shared" si="27"/>
        <v>5.1272852335874308E-2</v>
      </c>
      <c r="O51" s="24">
        <f t="shared" si="27"/>
        <v>2.9219356706554178E-2</v>
      </c>
      <c r="P51" s="24">
        <f t="shared" si="27"/>
        <v>4.2601911759626798E-2</v>
      </c>
      <c r="Q51" s="24">
        <f t="shared" si="27"/>
        <v>3.1281151046832045E-2</v>
      </c>
    </row>
    <row r="52" spans="2:17" x14ac:dyDescent="0.2">
      <c r="B52" s="1" t="s">
        <v>104</v>
      </c>
      <c r="C52" s="24"/>
      <c r="D52" s="24">
        <f t="shared" ref="D52:Q52" si="28">D28/C28-1</f>
        <v>0.80354391371340506</v>
      </c>
      <c r="E52" s="24">
        <f t="shared" si="28"/>
        <v>7.3045706962837409E-2</v>
      </c>
      <c r="F52" s="24">
        <f t="shared" si="28"/>
        <v>-0.6723726114649683</v>
      </c>
      <c r="G52" s="24">
        <f t="shared" si="28"/>
        <v>0.97448359659781358</v>
      </c>
      <c r="H52" s="24">
        <f t="shared" si="28"/>
        <v>5.3711946153846446E-2</v>
      </c>
      <c r="I52" s="24">
        <f t="shared" si="28"/>
        <v>0.19526203897363303</v>
      </c>
      <c r="J52" s="24">
        <f t="shared" si="28"/>
        <v>0.21215736919425865</v>
      </c>
      <c r="K52" s="24">
        <f t="shared" si="28"/>
        <v>8.9647874595719212E-2</v>
      </c>
      <c r="L52" s="24">
        <f t="shared" si="28"/>
        <v>9.1193389526697866E-2</v>
      </c>
      <c r="M52" s="24">
        <f t="shared" si="28"/>
        <v>7.1168498338169295E-2</v>
      </c>
      <c r="N52" s="24">
        <f t="shared" si="28"/>
        <v>9.0367755018846863E-2</v>
      </c>
      <c r="O52" s="24">
        <f t="shared" si="28"/>
        <v>3.8147791793445407E-2</v>
      </c>
      <c r="P52" s="24">
        <f t="shared" si="28"/>
        <v>8.1605292089240278E-2</v>
      </c>
      <c r="Q52" s="24">
        <f t="shared" si="28"/>
        <v>4.475290532134002E-2</v>
      </c>
    </row>
    <row r="53" spans="2:17" x14ac:dyDescent="0.2">
      <c r="B53" s="1" t="s">
        <v>105</v>
      </c>
      <c r="C53" s="24"/>
      <c r="D53" s="24">
        <f t="shared" ref="D53:Q53" si="29">D34/C34-1</f>
        <v>0.55088421755088413</v>
      </c>
      <c r="E53" s="24">
        <f t="shared" si="29"/>
        <v>0.14049053356282348</v>
      </c>
      <c r="F53" s="24">
        <f t="shared" si="29"/>
        <v>-0.39709488775702706</v>
      </c>
      <c r="G53" s="24">
        <f t="shared" si="29"/>
        <v>0.3060075093867336</v>
      </c>
      <c r="H53" s="24">
        <f t="shared" si="29"/>
        <v>8.2876257786297369E-3</v>
      </c>
      <c r="I53" s="24">
        <f t="shared" si="29"/>
        <v>0.11298842270764542</v>
      </c>
      <c r="J53" s="24">
        <f t="shared" si="29"/>
        <v>0.10877529249200379</v>
      </c>
      <c r="K53" s="24">
        <f t="shared" si="29"/>
        <v>5.1841271221259699E-2</v>
      </c>
      <c r="L53" s="24">
        <f t="shared" si="29"/>
        <v>6.3403296946154875E-2</v>
      </c>
      <c r="M53" s="24">
        <f t="shared" si="29"/>
        <v>3.647054538688721E-2</v>
      </c>
      <c r="N53" s="24">
        <f t="shared" si="29"/>
        <v>5.9659310734055504E-2</v>
      </c>
      <c r="O53" s="24">
        <f t="shared" si="29"/>
        <v>3.4341868216104521E-2</v>
      </c>
      <c r="P53" s="24">
        <f t="shared" si="29"/>
        <v>4.9477282372075715E-2</v>
      </c>
      <c r="Q53" s="24">
        <f t="shared" si="29"/>
        <v>3.5774688235605145E-2</v>
      </c>
    </row>
    <row r="54" spans="2:17" x14ac:dyDescent="0.2">
      <c r="B54" s="1" t="s">
        <v>77</v>
      </c>
      <c r="C54" s="24"/>
      <c r="D54" s="24">
        <f t="shared" ref="D54:Q54" si="30">D43/C43-1</f>
        <v>2.6315789473684292E-2</v>
      </c>
      <c r="E54" s="24">
        <f t="shared" si="30"/>
        <v>0.12820512820512819</v>
      </c>
      <c r="F54" s="24">
        <f t="shared" si="30"/>
        <v>2.2727272727272707E-2</v>
      </c>
      <c r="G54" s="24">
        <f t="shared" si="30"/>
        <v>0.17777777777777781</v>
      </c>
      <c r="H54" s="24">
        <f t="shared" si="30"/>
        <v>-0.20294722295493994</v>
      </c>
      <c r="I54" s="24">
        <f t="shared" si="30"/>
        <v>0.24651684338931212</v>
      </c>
      <c r="J54" s="24">
        <f t="shared" si="30"/>
        <v>0.68862066007228862</v>
      </c>
      <c r="K54" s="24">
        <f t="shared" si="30"/>
        <v>-2.0219935964346458E-2</v>
      </c>
      <c r="L54" s="24">
        <f t="shared" si="30"/>
        <v>-1.9551003012139523E-2</v>
      </c>
      <c r="M54" s="24">
        <f t="shared" si="30"/>
        <v>0.1254873877062308</v>
      </c>
      <c r="N54" s="24">
        <f t="shared" si="30"/>
        <v>0.12458431636881073</v>
      </c>
      <c r="O54" s="24">
        <f t="shared" si="30"/>
        <v>8.3481756500582982E-2</v>
      </c>
      <c r="P54" s="24">
        <f t="shared" si="30"/>
        <v>0.1309936615910321</v>
      </c>
      <c r="Q54" s="24">
        <f t="shared" si="30"/>
        <v>8.1800880687344923E-2</v>
      </c>
    </row>
    <row r="55" spans="2:17" x14ac:dyDescent="0.2">
      <c r="B55" s="1" t="s">
        <v>276</v>
      </c>
      <c r="C55" s="24">
        <f t="shared" ref="C55:Q55" si="31">C11/C9</f>
        <v>9.1702234496610593E-2</v>
      </c>
      <c r="D55" s="24">
        <f t="shared" si="31"/>
        <v>8.1584812850664795E-2</v>
      </c>
      <c r="E55" s="24">
        <f t="shared" si="31"/>
        <v>7.9072180228249606E-2</v>
      </c>
      <c r="F55" s="24">
        <f t="shared" si="31"/>
        <v>7.8606120056463377E-2</v>
      </c>
      <c r="G55" s="24">
        <f t="shared" si="31"/>
        <v>7.8631130015207135E-2</v>
      </c>
      <c r="H55" s="24">
        <f t="shared" si="31"/>
        <v>7.9447277784530965E-2</v>
      </c>
      <c r="I55" s="24">
        <f t="shared" si="31"/>
        <v>8.2142704782506612E-2</v>
      </c>
      <c r="J55" s="24">
        <f t="shared" si="31"/>
        <v>8.506504808193309E-2</v>
      </c>
      <c r="K55" s="24">
        <f t="shared" si="31"/>
        <v>8.4861997942574041E-2</v>
      </c>
      <c r="L55" s="24">
        <f t="shared" si="31"/>
        <v>8.5977647305641378E-2</v>
      </c>
      <c r="M55" s="24">
        <f t="shared" si="31"/>
        <v>8.6050608887560359E-2</v>
      </c>
      <c r="N55" s="24">
        <f t="shared" si="31"/>
        <v>8.6561591969288837E-2</v>
      </c>
      <c r="O55" s="24">
        <f t="shared" si="31"/>
        <v>8.6695858352102445E-2</v>
      </c>
      <c r="P55" s="24">
        <f t="shared" si="31"/>
        <v>8.7121389474013392E-2</v>
      </c>
      <c r="Q55" s="24">
        <f t="shared" si="31"/>
        <v>8.7287155418619283E-2</v>
      </c>
    </row>
    <row r="56" spans="2:17" x14ac:dyDescent="0.2">
      <c r="B56" s="1" t="s">
        <v>316</v>
      </c>
      <c r="C56" s="24">
        <f t="shared" ref="C56:Q56" si="32">C13/C9</f>
        <v>-5.8781069545568672E-2</v>
      </c>
      <c r="D56" s="24">
        <f t="shared" si="32"/>
        <v>-3.6443522147926115E-2</v>
      </c>
      <c r="E56" s="24">
        <f t="shared" si="32"/>
        <v>-2.7987747640926833E-2</v>
      </c>
      <c r="F56" s="24">
        <f t="shared" si="32"/>
        <v>-5.1809938512333412E-2</v>
      </c>
      <c r="G56" s="24">
        <f t="shared" si="32"/>
        <v>-4.2362707097039758E-2</v>
      </c>
      <c r="H56" s="24">
        <f t="shared" si="32"/>
        <v>-0.04</v>
      </c>
      <c r="I56" s="24">
        <f t="shared" si="32"/>
        <v>-0.04</v>
      </c>
      <c r="J56" s="24">
        <f t="shared" si="32"/>
        <v>-0.04</v>
      </c>
      <c r="K56" s="24">
        <f t="shared" si="32"/>
        <v>-0.04</v>
      </c>
      <c r="L56" s="24">
        <f t="shared" si="32"/>
        <v>-0.04</v>
      </c>
      <c r="M56" s="24">
        <f t="shared" si="32"/>
        <v>-0.04</v>
      </c>
      <c r="N56" s="24">
        <f t="shared" si="32"/>
        <v>-0.04</v>
      </c>
      <c r="O56" s="24">
        <f t="shared" si="32"/>
        <v>-0.04</v>
      </c>
      <c r="P56" s="24">
        <f t="shared" si="32"/>
        <v>-0.04</v>
      </c>
      <c r="Q56" s="24">
        <f t="shared" si="32"/>
        <v>-0.04</v>
      </c>
    </row>
    <row r="57" spans="2:17" x14ac:dyDescent="0.2">
      <c r="B57" s="1" t="s">
        <v>106</v>
      </c>
      <c r="C57" s="57">
        <f t="shared" ref="C57:Q57" si="33">C28/C9</f>
        <v>2.0367813206126028E-2</v>
      </c>
      <c r="D57" s="57">
        <f t="shared" si="33"/>
        <v>2.9987446519611594E-2</v>
      </c>
      <c r="E57" s="57">
        <f t="shared" si="33"/>
        <v>3.102613507237786E-2</v>
      </c>
      <c r="F57" s="57">
        <f t="shared" si="33"/>
        <v>9.845204201258461E-3</v>
      </c>
      <c r="G57" s="57">
        <f t="shared" si="33"/>
        <v>1.8580134691684111E-2</v>
      </c>
      <c r="H57" s="24">
        <f t="shared" si="33"/>
        <v>1.8435776405466914E-2</v>
      </c>
      <c r="I57" s="24">
        <f t="shared" si="33"/>
        <v>2.1008191689530532E-2</v>
      </c>
      <c r="J57" s="24">
        <f t="shared" si="33"/>
        <v>2.4374144832195476E-2</v>
      </c>
      <c r="K57" s="24">
        <f t="shared" si="33"/>
        <v>2.5114104744866975E-2</v>
      </c>
      <c r="L57" s="24">
        <f t="shared" si="33"/>
        <v>2.6392188791997635E-2</v>
      </c>
      <c r="M57" s="24">
        <f t="shared" si="33"/>
        <v>2.7325471759427299E-2</v>
      </c>
      <c r="N57" s="24">
        <f t="shared" si="33"/>
        <v>2.834165576610782E-2</v>
      </c>
      <c r="O57" s="24">
        <f t="shared" si="33"/>
        <v>2.8587518450397444E-2</v>
      </c>
      <c r="P57" s="24">
        <f t="shared" si="33"/>
        <v>2.9656967721710271E-2</v>
      </c>
      <c r="Q57" s="24">
        <f t="shared" si="33"/>
        <v>3.0044380389214503E-2</v>
      </c>
    </row>
    <row r="58" spans="2:17" x14ac:dyDescent="0.2">
      <c r="B58" s="1" t="s">
        <v>107</v>
      </c>
      <c r="C58" s="57">
        <f t="shared" ref="C58:Q58" si="34">C19/C9</f>
        <v>3.2921164951041922E-2</v>
      </c>
      <c r="D58" s="57">
        <f t="shared" si="34"/>
        <v>4.5141290702738687E-2</v>
      </c>
      <c r="E58" s="57">
        <f t="shared" si="34"/>
        <v>5.0565683513660406E-2</v>
      </c>
      <c r="F58" s="57">
        <f t="shared" si="34"/>
        <v>2.5480297629016432E-2</v>
      </c>
      <c r="G58" s="57">
        <f t="shared" si="34"/>
        <v>3.5650990749951414E-2</v>
      </c>
      <c r="H58" s="24">
        <f t="shared" si="34"/>
        <v>3.3872234940789683E-2</v>
      </c>
      <c r="I58" s="24">
        <f t="shared" si="34"/>
        <v>3.7453746477531705E-2</v>
      </c>
      <c r="J58" s="24">
        <f t="shared" si="34"/>
        <v>4.1107543308148788E-2</v>
      </c>
      <c r="K58" s="24">
        <f t="shared" si="34"/>
        <v>4.1240602438491515E-2</v>
      </c>
      <c r="L58" s="24">
        <f t="shared" si="34"/>
        <v>4.2946315288724592E-2</v>
      </c>
      <c r="M58" s="24">
        <f t="shared" si="34"/>
        <v>4.3333351658857058E-2</v>
      </c>
      <c r="N58" s="24">
        <f t="shared" si="34"/>
        <v>4.3747674122264359E-2</v>
      </c>
      <c r="O58" s="24">
        <f t="shared" si="34"/>
        <v>4.4121092489364994E-2</v>
      </c>
      <c r="P58" s="24">
        <f t="shared" si="34"/>
        <v>4.4482663553515239E-2</v>
      </c>
      <c r="Q58" s="24">
        <f t="shared" si="34"/>
        <v>4.4848448695980543E-2</v>
      </c>
    </row>
    <row r="59" spans="2:17" x14ac:dyDescent="0.2">
      <c r="B59" s="1" t="s">
        <v>108</v>
      </c>
      <c r="C59" s="24">
        <f t="shared" ref="C59:Q59" si="35">C34/C9</f>
        <v>4.7027993974391148E-2</v>
      </c>
      <c r="D59" s="24">
        <f t="shared" si="35"/>
        <v>5.9539364127789283E-2</v>
      </c>
      <c r="E59" s="24">
        <f t="shared" si="35"/>
        <v>6.5473543797243239E-2</v>
      </c>
      <c r="F59" s="24">
        <f t="shared" si="35"/>
        <v>3.8232409024571139E-2</v>
      </c>
      <c r="G59" s="24">
        <f t="shared" si="35"/>
        <v>4.7725219817285829E-2</v>
      </c>
      <c r="H59" s="24">
        <f t="shared" si="35"/>
        <v>4.531302390517649E-2</v>
      </c>
      <c r="I59" s="24">
        <f t="shared" si="35"/>
        <v>4.8081477491456304E-2</v>
      </c>
      <c r="J59" s="24">
        <f t="shared" si="35"/>
        <v>5.1027354632100806E-2</v>
      </c>
      <c r="K59" s="24">
        <f t="shared" si="35"/>
        <v>5.0752261524230222E-2</v>
      </c>
      <c r="L59" s="24">
        <f t="shared" si="35"/>
        <v>5.19767814500963E-2</v>
      </c>
      <c r="M59" s="24">
        <f t="shared" si="35"/>
        <v>5.2071587142651157E-2</v>
      </c>
      <c r="N59" s="24">
        <f t="shared" si="35"/>
        <v>5.2486984723144926E-2</v>
      </c>
      <c r="O59" s="24">
        <f t="shared" si="35"/>
        <v>5.2748216871174342E-2</v>
      </c>
      <c r="P59" s="24">
        <f t="shared" si="35"/>
        <v>5.3096061562465081E-2</v>
      </c>
      <c r="Q59" s="24">
        <f t="shared" si="35"/>
        <v>5.332741372764925E-2</v>
      </c>
    </row>
    <row r="60" spans="2:17" x14ac:dyDescent="0.2">
      <c r="B60" s="1" t="s">
        <v>330</v>
      </c>
      <c r="C60" s="57">
        <f>C21/C91</f>
        <v>-2.944204241301215E-2</v>
      </c>
      <c r="D60" s="57">
        <f>D21/D91</f>
        <v>-3.4330103575008354E-2</v>
      </c>
      <c r="E60" s="57">
        <f>E21/E91</f>
        <v>-5.9221414693818808E-2</v>
      </c>
      <c r="F60" s="57">
        <f>F21/F91</f>
        <v>-6.0317910871416407E-2</v>
      </c>
      <c r="G60" s="57">
        <f>G21/G91</f>
        <v>-5.9072247073962865E-2</v>
      </c>
      <c r="H60" s="262">
        <f>Input!K43</f>
        <v>-5.5E-2</v>
      </c>
      <c r="I60" s="262">
        <f>Input!L43</f>
        <v>-5.5E-2</v>
      </c>
      <c r="J60" s="262">
        <f>Input!M43</f>
        <v>-5.5E-2</v>
      </c>
      <c r="K60" s="262">
        <f>Input!N43</f>
        <v>-5.5E-2</v>
      </c>
      <c r="L60" s="262">
        <f>Input!O43</f>
        <v>-5.5E-2</v>
      </c>
      <c r="M60" s="262">
        <f>Input!P43</f>
        <v>-5.5E-2</v>
      </c>
      <c r="N60" s="262">
        <f>Input!Q43</f>
        <v>-5.5E-2</v>
      </c>
      <c r="O60" s="262">
        <f>Input!R43</f>
        <v>-5.5E-2</v>
      </c>
      <c r="P60" s="262">
        <f>Input!S43</f>
        <v>-5.5E-2</v>
      </c>
      <c r="Q60" s="262">
        <f>Input!T43</f>
        <v>-5.5E-2</v>
      </c>
    </row>
    <row r="62" spans="2:17" x14ac:dyDescent="0.2">
      <c r="B62" s="31" t="s">
        <v>109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3" spans="2:17" x14ac:dyDescent="0.2">
      <c r="B63" s="7" t="s">
        <v>110</v>
      </c>
    </row>
    <row r="64" spans="2:17" x14ac:dyDescent="0.2">
      <c r="B64" s="2" t="s">
        <v>111</v>
      </c>
      <c r="C64" s="36">
        <v>62.8</v>
      </c>
      <c r="D64" s="36">
        <v>73</v>
      </c>
      <c r="E64" s="36">
        <v>69.5</v>
      </c>
      <c r="F64" s="36">
        <v>64.599999999999994</v>
      </c>
      <c r="G64" s="36">
        <v>104.1</v>
      </c>
      <c r="H64" s="37">
        <f>H181</f>
        <v>100.0000000000001</v>
      </c>
      <c r="I64" s="37">
        <f t="shared" ref="I64:Q64" si="36">I181</f>
        <v>99.99999999999973</v>
      </c>
      <c r="J64" s="37">
        <f t="shared" si="36"/>
        <v>100.00000000000013</v>
      </c>
      <c r="K64" s="37">
        <f t="shared" si="36"/>
        <v>100.00000000000001</v>
      </c>
      <c r="L64" s="37">
        <f t="shared" si="36"/>
        <v>100.00000000000001</v>
      </c>
      <c r="M64" s="37">
        <f t="shared" si="36"/>
        <v>100.00000000000001</v>
      </c>
      <c r="N64" s="37">
        <f t="shared" si="36"/>
        <v>100.00000000000001</v>
      </c>
      <c r="O64" s="37">
        <f t="shared" si="36"/>
        <v>100.00000000000001</v>
      </c>
      <c r="P64" s="37">
        <f t="shared" si="36"/>
        <v>100.00000000000001</v>
      </c>
      <c r="Q64" s="37">
        <f t="shared" si="36"/>
        <v>104.94577249022872</v>
      </c>
    </row>
    <row r="65" spans="2:17" x14ac:dyDescent="0.2">
      <c r="B65" s="2" t="s">
        <v>292</v>
      </c>
      <c r="C65" s="36">
        <v>0</v>
      </c>
      <c r="D65" s="36">
        <v>0</v>
      </c>
      <c r="E65" s="36">
        <v>139.19999999999999</v>
      </c>
      <c r="F65" s="36">
        <v>162.1</v>
      </c>
      <c r="G65" s="36">
        <v>193.7</v>
      </c>
      <c r="H65" s="37">
        <f>H9*Input!K53</f>
        <v>185.75641999999999</v>
      </c>
      <c r="I65" s="37">
        <f>I9*Input!L53</f>
        <v>194.84071739999999</v>
      </c>
      <c r="J65" s="37">
        <f>J9*Input!M53</f>
        <v>203.562609788</v>
      </c>
      <c r="K65" s="37">
        <f>K9*Input!N53</f>
        <v>215.27612742688001</v>
      </c>
      <c r="L65" s="37">
        <f>L9*Input!O53</f>
        <v>223.53209619353925</v>
      </c>
      <c r="M65" s="37">
        <f>M9*Input!P53</f>
        <v>231.26261045954692</v>
      </c>
      <c r="N65" s="37">
        <f>N9*Input!Q53</f>
        <v>243.12010413644811</v>
      </c>
      <c r="O65" s="37">
        <f>O9*Input!R53</f>
        <v>250.22391718174558</v>
      </c>
      <c r="P65" s="37">
        <f>P9*Input!S53</f>
        <v>260.88393442167046</v>
      </c>
      <c r="Q65" s="37">
        <f>Q9*Input!T53</f>
        <v>269.04468418000658</v>
      </c>
    </row>
    <row r="66" spans="2:17" x14ac:dyDescent="0.2">
      <c r="B66" s="2" t="s">
        <v>112</v>
      </c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</row>
    <row r="67" spans="2:17" x14ac:dyDescent="0.2">
      <c r="B67" s="2" t="s">
        <v>307</v>
      </c>
      <c r="C67" s="36">
        <v>1137.0999999999999</v>
      </c>
      <c r="D67" s="36">
        <v>1278.7</v>
      </c>
      <c r="E67" s="36">
        <v>1365</v>
      </c>
      <c r="F67" s="36">
        <v>1384.1</v>
      </c>
      <c r="G67" s="36">
        <v>1471.1</v>
      </c>
      <c r="H67" s="37">
        <f>Input!K49</f>
        <v>1532.4904650000001</v>
      </c>
      <c r="I67" s="37">
        <f>Input!L49</f>
        <v>1607.43591855</v>
      </c>
      <c r="J67" s="37">
        <f>Input!M49</f>
        <v>1679.3915307510001</v>
      </c>
      <c r="K67" s="37">
        <f>Input!N49</f>
        <v>1776.0280512717602</v>
      </c>
      <c r="L67" s="37">
        <f>Input!O49</f>
        <v>1844.1397935966988</v>
      </c>
      <c r="M67" s="37">
        <f>Input!P49</f>
        <v>1907.9165362912622</v>
      </c>
      <c r="N67" s="37">
        <f>Input!Q49</f>
        <v>2005.7408591256969</v>
      </c>
      <c r="O67" s="37">
        <f>Input!R49</f>
        <v>2064.3473167494012</v>
      </c>
      <c r="P67" s="37">
        <f>Input!S49</f>
        <v>2152.2924589787813</v>
      </c>
      <c r="Q67" s="37">
        <f>Input!T49</f>
        <v>2219.6186444850546</v>
      </c>
    </row>
    <row r="68" spans="2:17" x14ac:dyDescent="0.2">
      <c r="B68" s="2" t="s">
        <v>113</v>
      </c>
      <c r="C68" s="37">
        <f>C69-C67-C66-C65-C64</f>
        <v>201.2</v>
      </c>
      <c r="D68" s="37">
        <f>D69-D67-D66-D65-D64</f>
        <v>209.5</v>
      </c>
      <c r="E68" s="37">
        <f>E69-E67-E66-E65-E64</f>
        <v>137.00000000000006</v>
      </c>
      <c r="F68" s="37">
        <f>F69-F67-F66-F65-F64</f>
        <v>177.90000000000015</v>
      </c>
      <c r="G68" s="37">
        <f>G69-G67-G66-G65-G64</f>
        <v>169.80000000000015</v>
      </c>
      <c r="H68" s="37">
        <f>Input!K57</f>
        <v>180.32129406922115</v>
      </c>
      <c r="I68" s="37">
        <f>Input!L57</f>
        <v>189.1397901560733</v>
      </c>
      <c r="J68" s="37">
        <f>Input!M57</f>
        <v>197.60648499298205</v>
      </c>
      <c r="K68" s="37">
        <f>Input!N57</f>
        <v>208.9772718478616</v>
      </c>
      <c r="L68" s="37">
        <f>Input!O57</f>
        <v>216.99167572041185</v>
      </c>
      <c r="M68" s="37">
        <f>Input!P57</f>
        <v>224.49599958855637</v>
      </c>
      <c r="N68" s="37">
        <f>Input!Q57</f>
        <v>236.00654982545493</v>
      </c>
      <c r="O68" s="37">
        <f>Input!R57</f>
        <v>242.90250938988802</v>
      </c>
      <c r="P68" s="37">
        <f>Input!S57</f>
        <v>253.25062066110797</v>
      </c>
      <c r="Q68" s="37">
        <f>Input!T57</f>
        <v>261.17259157871206</v>
      </c>
    </row>
    <row r="69" spans="2:17" x14ac:dyDescent="0.2">
      <c r="B69" s="23" t="s">
        <v>114</v>
      </c>
      <c r="C69" s="146">
        <v>1401.1</v>
      </c>
      <c r="D69" s="146">
        <v>1561.2</v>
      </c>
      <c r="E69" s="146">
        <v>1710.7</v>
      </c>
      <c r="F69" s="146">
        <v>1788.7</v>
      </c>
      <c r="G69" s="146">
        <v>1938.7</v>
      </c>
      <c r="H69" s="38">
        <f t="shared" ref="H69:Q69" si="37">SUM(H64:H68)</f>
        <v>1998.5681790692215</v>
      </c>
      <c r="I69" s="38">
        <f t="shared" si="37"/>
        <v>2091.4164261060728</v>
      </c>
      <c r="J69" s="38">
        <f t="shared" si="37"/>
        <v>2180.5606255319822</v>
      </c>
      <c r="K69" s="38">
        <f t="shared" si="37"/>
        <v>2300.2814505465017</v>
      </c>
      <c r="L69" s="38">
        <f t="shared" si="37"/>
        <v>2384.6635655106502</v>
      </c>
      <c r="M69" s="38">
        <f t="shared" si="37"/>
        <v>2463.6751463393657</v>
      </c>
      <c r="N69" s="38">
        <f t="shared" si="37"/>
        <v>2584.8675130875999</v>
      </c>
      <c r="O69" s="38">
        <f t="shared" si="37"/>
        <v>2657.4737433210348</v>
      </c>
      <c r="P69" s="38">
        <f t="shared" si="37"/>
        <v>2766.4270140615595</v>
      </c>
      <c r="Q69" s="38">
        <f t="shared" si="37"/>
        <v>2854.7816927340018</v>
      </c>
    </row>
    <row r="70" spans="2:17" x14ac:dyDescent="0.2">
      <c r="B70" s="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37"/>
      <c r="N70" s="37"/>
      <c r="O70" s="37"/>
      <c r="P70" s="37"/>
      <c r="Q70" s="37"/>
    </row>
    <row r="71" spans="2:17" x14ac:dyDescent="0.2">
      <c r="B71" s="2" t="s">
        <v>293</v>
      </c>
      <c r="C71" s="36">
        <v>238.4</v>
      </c>
      <c r="D71" s="36">
        <v>240.6</v>
      </c>
      <c r="E71" s="36">
        <v>244.9</v>
      </c>
      <c r="F71" s="36">
        <v>251.9</v>
      </c>
      <c r="G71" s="36">
        <v>272.39999999999998</v>
      </c>
      <c r="H71" s="37">
        <f t="shared" ref="H71:Q71" si="38">($G$71/$G$9)*H9</f>
        <v>289.27868377182449</v>
      </c>
      <c r="I71" s="37">
        <f t="shared" si="38"/>
        <v>303.42567042705724</v>
      </c>
      <c r="J71" s="37">
        <f t="shared" si="38"/>
        <v>317.00828334563164</v>
      </c>
      <c r="K71" s="37">
        <f t="shared" si="38"/>
        <v>335.24975766406038</v>
      </c>
      <c r="L71" s="37">
        <f t="shared" si="38"/>
        <v>348.10678719811619</v>
      </c>
      <c r="M71" s="37">
        <f t="shared" si="38"/>
        <v>360.14552584171201</v>
      </c>
      <c r="N71" s="37">
        <f t="shared" si="38"/>
        <v>378.61121420761992</v>
      </c>
      <c r="O71" s="37">
        <f t="shared" si="38"/>
        <v>389.67399032865393</v>
      </c>
      <c r="P71" s="37">
        <f t="shared" si="38"/>
        <v>406.27484727965691</v>
      </c>
      <c r="Q71" s="37">
        <f t="shared" si="38"/>
        <v>418.98359214394054</v>
      </c>
    </row>
    <row r="72" spans="2:17" x14ac:dyDescent="0.2">
      <c r="B72" s="2" t="s">
        <v>116</v>
      </c>
      <c r="C72" s="36">
        <v>424.8</v>
      </c>
      <c r="D72" s="36">
        <v>378.6</v>
      </c>
      <c r="E72" s="36">
        <v>303</v>
      </c>
      <c r="F72" s="36">
        <v>282.5</v>
      </c>
      <c r="G72" s="36">
        <v>243.2</v>
      </c>
      <c r="H72" s="37">
        <f>G72+H15+Input!K65</f>
        <v>244.22</v>
      </c>
      <c r="I72" s="37">
        <f>H72+I15+Input!L65</f>
        <v>198.54</v>
      </c>
      <c r="J72" s="37">
        <f>I72+J15+Input!M65</f>
        <v>158.26</v>
      </c>
      <c r="K72" s="37">
        <f>J72+K15+Input!N65</f>
        <v>159.27999999999997</v>
      </c>
      <c r="L72" s="37">
        <f>K72+L15+Input!O65</f>
        <v>125.39999999999998</v>
      </c>
      <c r="M72" s="37">
        <f>L72+M15+Input!P65</f>
        <v>93.979999999999976</v>
      </c>
      <c r="N72" s="37">
        <f>M72+N15+Input!Q65</f>
        <v>109.77399999999997</v>
      </c>
      <c r="O72" s="37">
        <f>N72+O15+Input!R65</f>
        <v>77.560599999999965</v>
      </c>
      <c r="P72" s="37">
        <f>O72+P15+Input!S65</f>
        <v>83.140539999999959</v>
      </c>
      <c r="Q72" s="37">
        <f>P72+Q15+Input!T65</f>
        <v>50.334485999999956</v>
      </c>
    </row>
    <row r="73" spans="2:17" x14ac:dyDescent="0.2">
      <c r="B73" s="2" t="s">
        <v>117</v>
      </c>
      <c r="C73" s="36">
        <v>2228.9</v>
      </c>
      <c r="D73" s="36">
        <v>2485.6</v>
      </c>
      <c r="E73" s="36">
        <v>2491.3000000000002</v>
      </c>
      <c r="F73" s="36">
        <v>2575.9</v>
      </c>
      <c r="G73" s="36">
        <v>2591.1</v>
      </c>
      <c r="H73" s="37">
        <f>G73+Input!K66</f>
        <v>2802.2999999999997</v>
      </c>
      <c r="I73" s="37">
        <f>H73+Input!L66</f>
        <v>2802.2999999999997</v>
      </c>
      <c r="J73" s="37">
        <f>I73+Input!M66</f>
        <v>2802.2999999999997</v>
      </c>
      <c r="K73" s="37">
        <f>J73+Input!N66</f>
        <v>2962.2999999999997</v>
      </c>
      <c r="L73" s="37">
        <f>K73+Input!O66</f>
        <v>2962.2999999999997</v>
      </c>
      <c r="M73" s="37">
        <f>L73+Input!P66</f>
        <v>2962.2999999999997</v>
      </c>
      <c r="N73" s="37">
        <f>M73+Input!Q66</f>
        <v>3162.2999999999997</v>
      </c>
      <c r="O73" s="37">
        <f>N73+Input!R66</f>
        <v>3162.2999999999997</v>
      </c>
      <c r="P73" s="37">
        <f>O73+Input!S66</f>
        <v>3322.2999999999997</v>
      </c>
      <c r="Q73" s="37">
        <f>P73+Input!T66</f>
        <v>3322.2999999999997</v>
      </c>
    </row>
    <row r="74" spans="2:17" x14ac:dyDescent="0.2">
      <c r="B74" s="2" t="s">
        <v>118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37">
        <f>G74</f>
        <v>0</v>
      </c>
      <c r="I74" s="37">
        <f t="shared" ref="I74:Q76" si="39">H74</f>
        <v>0</v>
      </c>
      <c r="J74" s="37">
        <f t="shared" si="39"/>
        <v>0</v>
      </c>
      <c r="K74" s="37">
        <f t="shared" si="39"/>
        <v>0</v>
      </c>
      <c r="L74" s="37">
        <f t="shared" si="39"/>
        <v>0</v>
      </c>
      <c r="M74" s="37">
        <f t="shared" si="39"/>
        <v>0</v>
      </c>
      <c r="N74" s="37">
        <f t="shared" si="39"/>
        <v>0</v>
      </c>
      <c r="O74" s="37">
        <f t="shared" si="39"/>
        <v>0</v>
      </c>
      <c r="P74" s="37">
        <f t="shared" si="39"/>
        <v>0</v>
      </c>
      <c r="Q74" s="37">
        <f t="shared" si="39"/>
        <v>0</v>
      </c>
    </row>
    <row r="75" spans="2:17" x14ac:dyDescent="0.2">
      <c r="B75" s="2" t="s">
        <v>119</v>
      </c>
      <c r="C75" s="36">
        <v>0</v>
      </c>
      <c r="D75" s="36">
        <v>0</v>
      </c>
      <c r="E75" s="36">
        <v>0</v>
      </c>
      <c r="F75" s="36">
        <v>0</v>
      </c>
      <c r="G75" s="36">
        <v>0</v>
      </c>
      <c r="H75" s="37">
        <f t="shared" ref="H75:Q75" si="40">($G$75/$G$9)*H9</f>
        <v>0</v>
      </c>
      <c r="I75" s="37">
        <f t="shared" si="40"/>
        <v>0</v>
      </c>
      <c r="J75" s="37">
        <f t="shared" si="40"/>
        <v>0</v>
      </c>
      <c r="K75" s="37">
        <f t="shared" si="40"/>
        <v>0</v>
      </c>
      <c r="L75" s="37">
        <f t="shared" si="40"/>
        <v>0</v>
      </c>
      <c r="M75" s="37">
        <f t="shared" si="40"/>
        <v>0</v>
      </c>
      <c r="N75" s="37">
        <f t="shared" si="40"/>
        <v>0</v>
      </c>
      <c r="O75" s="37">
        <f t="shared" si="40"/>
        <v>0</v>
      </c>
      <c r="P75" s="37">
        <f t="shared" si="40"/>
        <v>0</v>
      </c>
      <c r="Q75" s="37">
        <f t="shared" si="40"/>
        <v>0</v>
      </c>
    </row>
    <row r="76" spans="2:17" x14ac:dyDescent="0.2">
      <c r="B76" s="2" t="s">
        <v>306</v>
      </c>
      <c r="C76" s="36">
        <v>11.8</v>
      </c>
      <c r="D76" s="36">
        <v>14.5</v>
      </c>
      <c r="E76" s="36">
        <v>28.8</v>
      </c>
      <c r="F76" s="36">
        <v>30.8</v>
      </c>
      <c r="G76" s="36">
        <v>48.6</v>
      </c>
      <c r="H76" s="37">
        <f>H9*Input!K54</f>
        <v>46.439104999999998</v>
      </c>
      <c r="I76" s="37">
        <f t="shared" si="39"/>
        <v>46.439104999999998</v>
      </c>
      <c r="J76" s="37">
        <f t="shared" si="39"/>
        <v>46.439104999999998</v>
      </c>
      <c r="K76" s="37">
        <f t="shared" si="39"/>
        <v>46.439104999999998</v>
      </c>
      <c r="L76" s="37">
        <f t="shared" si="39"/>
        <v>46.439104999999998</v>
      </c>
      <c r="M76" s="37">
        <f t="shared" si="39"/>
        <v>46.439104999999998</v>
      </c>
      <c r="N76" s="37">
        <f t="shared" si="39"/>
        <v>46.439104999999998</v>
      </c>
      <c r="O76" s="37">
        <f t="shared" si="39"/>
        <v>46.439104999999998</v>
      </c>
      <c r="P76" s="37">
        <f t="shared" si="39"/>
        <v>46.439104999999998</v>
      </c>
      <c r="Q76" s="37">
        <f t="shared" si="39"/>
        <v>46.439104999999998</v>
      </c>
    </row>
    <row r="77" spans="2:17" x14ac:dyDescent="0.2">
      <c r="B77" s="2" t="s">
        <v>120</v>
      </c>
      <c r="C77" s="37">
        <f>C78-C76-C75-C74-C73-C72-C71</f>
        <v>131.19999999999962</v>
      </c>
      <c r="D77" s="37">
        <f>D78-D76-D75-D74-D73-D72-D71</f>
        <v>188.39999999999989</v>
      </c>
      <c r="E77" s="37">
        <f>E78-E76-E75-E74-E73-E72-E71</f>
        <v>154.99999999999963</v>
      </c>
      <c r="F77" s="37">
        <f>F78-F76-F75-F74-F73-F72-F71</f>
        <v>167.39999999999972</v>
      </c>
      <c r="G77" s="37">
        <f>G78-G76-G75-G74-G73-G72-G71</f>
        <v>175.5000000000004</v>
      </c>
      <c r="H77" s="37">
        <f>Input!K58</f>
        <v>186.37448238603272</v>
      </c>
      <c r="I77" s="37">
        <f>Input!L58</f>
        <v>195.48900572668379</v>
      </c>
      <c r="J77" s="37">
        <f>Input!M58</f>
        <v>204.23991823479619</v>
      </c>
      <c r="K77" s="37">
        <f>Input!N58</f>
        <v>215.99240994876186</v>
      </c>
      <c r="L77" s="37">
        <f>Input!O58</f>
        <v>224.27584858028462</v>
      </c>
      <c r="M77" s="37">
        <f>Input!P58</f>
        <v>232.03208438039869</v>
      </c>
      <c r="N77" s="37">
        <f>Input!Q58</f>
        <v>243.92903118001999</v>
      </c>
      <c r="O77" s="37">
        <f>Input!R58</f>
        <v>251.05648055315316</v>
      </c>
      <c r="P77" s="37">
        <f>Input!S58</f>
        <v>261.75196658436107</v>
      </c>
      <c r="Q77" s="37">
        <f>Input!T58</f>
        <v>269.9398693878918</v>
      </c>
    </row>
    <row r="78" spans="2:17" x14ac:dyDescent="0.2">
      <c r="B78" s="23" t="s">
        <v>121</v>
      </c>
      <c r="C78" s="146">
        <v>3035.1</v>
      </c>
      <c r="D78" s="146">
        <v>3307.7</v>
      </c>
      <c r="E78" s="146">
        <v>3223</v>
      </c>
      <c r="F78" s="146">
        <v>3308.5</v>
      </c>
      <c r="G78" s="146">
        <v>3330.8</v>
      </c>
      <c r="H78" s="38">
        <f t="shared" ref="H78:Q78" si="41">SUM(H71:H77)</f>
        <v>3568.6122711578573</v>
      </c>
      <c r="I78" s="38">
        <f t="shared" si="41"/>
        <v>3546.1937811537409</v>
      </c>
      <c r="J78" s="38">
        <f t="shared" si="41"/>
        <v>3528.2473065804274</v>
      </c>
      <c r="K78" s="38">
        <f t="shared" si="41"/>
        <v>3719.2612726128218</v>
      </c>
      <c r="L78" s="38">
        <f t="shared" si="41"/>
        <v>3706.5217407784003</v>
      </c>
      <c r="M78" s="38">
        <f t="shared" si="41"/>
        <v>3694.8967152221103</v>
      </c>
      <c r="N78" s="38">
        <f t="shared" si="41"/>
        <v>3941.0533503876395</v>
      </c>
      <c r="O78" s="38">
        <f t="shared" si="41"/>
        <v>3927.0301758818064</v>
      </c>
      <c r="P78" s="38">
        <f t="shared" si="41"/>
        <v>4119.9064588640176</v>
      </c>
      <c r="Q78" s="38">
        <f t="shared" si="41"/>
        <v>4107.9970525318322</v>
      </c>
    </row>
    <row r="79" spans="2:17" x14ac:dyDescent="0.2"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</row>
    <row r="80" spans="2:17" ht="16" thickBot="1" x14ac:dyDescent="0.25">
      <c r="B80" s="40" t="s">
        <v>122</v>
      </c>
      <c r="C80" s="147">
        <f t="shared" ref="C80:Q80" si="42">C78+C69</f>
        <v>4436.2</v>
      </c>
      <c r="D80" s="147">
        <f t="shared" si="42"/>
        <v>4868.8999999999996</v>
      </c>
      <c r="E80" s="147">
        <f t="shared" si="42"/>
        <v>4933.7</v>
      </c>
      <c r="F80" s="147">
        <f t="shared" si="42"/>
        <v>5097.2</v>
      </c>
      <c r="G80" s="147">
        <f t="shared" si="42"/>
        <v>5269.5</v>
      </c>
      <c r="H80" s="147">
        <f t="shared" si="42"/>
        <v>5567.1804502270788</v>
      </c>
      <c r="I80" s="147">
        <f t="shared" si="42"/>
        <v>5637.6102072598133</v>
      </c>
      <c r="J80" s="147">
        <f t="shared" si="42"/>
        <v>5708.8079321124096</v>
      </c>
      <c r="K80" s="147">
        <f t="shared" si="42"/>
        <v>6019.5427231593239</v>
      </c>
      <c r="L80" s="147">
        <f t="shared" si="42"/>
        <v>6091.1853062890505</v>
      </c>
      <c r="M80" s="147">
        <f t="shared" si="42"/>
        <v>6158.571861561476</v>
      </c>
      <c r="N80" s="147">
        <f t="shared" si="42"/>
        <v>6525.9208634752395</v>
      </c>
      <c r="O80" s="147">
        <f t="shared" si="42"/>
        <v>6584.5039192028416</v>
      </c>
      <c r="P80" s="147">
        <f t="shared" si="42"/>
        <v>6886.3334729255766</v>
      </c>
      <c r="Q80" s="147">
        <f t="shared" si="42"/>
        <v>6962.778745265834</v>
      </c>
    </row>
    <row r="81" spans="2:17" ht="16" thickTop="1" x14ac:dyDescent="0.2"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</row>
    <row r="82" spans="2:17" x14ac:dyDescent="0.2">
      <c r="B82" s="7" t="s">
        <v>123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</row>
    <row r="83" spans="2:17" x14ac:dyDescent="0.2">
      <c r="B83" s="2" t="s">
        <v>124</v>
      </c>
      <c r="C83" s="36">
        <v>289.39999999999998</v>
      </c>
      <c r="D83" s="36">
        <v>315.5</v>
      </c>
      <c r="E83" s="36">
        <v>299.10000000000002</v>
      </c>
      <c r="F83" s="36">
        <v>324.3</v>
      </c>
      <c r="G83" s="36">
        <v>401.2</v>
      </c>
      <c r="H83" s="37">
        <f>Input!K51</f>
        <v>386.01521308750006</v>
      </c>
      <c r="I83" s="37">
        <f>Input!L51</f>
        <v>404.05576979062499</v>
      </c>
      <c r="J83" s="37">
        <f>Input!M51</f>
        <v>421.08380024205252</v>
      </c>
      <c r="K83" s="37">
        <f>Input!N51</f>
        <v>445.58971011167154</v>
      </c>
      <c r="L83" s="37">
        <f>Input!O51</f>
        <v>462.39931546722482</v>
      </c>
      <c r="M83" s="37">
        <f>Input!P51</f>
        <v>478.52311679571159</v>
      </c>
      <c r="N83" s="37">
        <f>Input!Q51</f>
        <v>502.7075022033498</v>
      </c>
      <c r="O83" s="37">
        <f>Input!R51</f>
        <v>517.45862363367485</v>
      </c>
      <c r="P83" s="37">
        <f>Input!S51</f>
        <v>539.20006184303327</v>
      </c>
      <c r="Q83" s="37">
        <f>Input!T51</f>
        <v>556.08874760430274</v>
      </c>
    </row>
    <row r="84" spans="2:17" x14ac:dyDescent="0.2">
      <c r="B84" s="2" t="s">
        <v>125</v>
      </c>
      <c r="C84" s="36">
        <v>136.30000000000001</v>
      </c>
      <c r="D84" s="36">
        <v>131.30000000000001</v>
      </c>
      <c r="E84" s="36">
        <v>76.8</v>
      </c>
      <c r="F84" s="36">
        <v>61</v>
      </c>
      <c r="G84" s="36">
        <v>52.1</v>
      </c>
      <c r="H84" s="37">
        <f>G84</f>
        <v>52.1</v>
      </c>
      <c r="I84" s="37">
        <f t="shared" ref="I84:Q84" si="43">H84</f>
        <v>52.1</v>
      </c>
      <c r="J84" s="37">
        <f t="shared" si="43"/>
        <v>52.1</v>
      </c>
      <c r="K84" s="37">
        <f t="shared" si="43"/>
        <v>52.1</v>
      </c>
      <c r="L84" s="37">
        <f t="shared" si="43"/>
        <v>52.1</v>
      </c>
      <c r="M84" s="37">
        <f t="shared" si="43"/>
        <v>52.1</v>
      </c>
      <c r="N84" s="37">
        <f t="shared" si="43"/>
        <v>52.1</v>
      </c>
      <c r="O84" s="37">
        <f t="shared" si="43"/>
        <v>52.1</v>
      </c>
      <c r="P84" s="37">
        <f t="shared" si="43"/>
        <v>52.1</v>
      </c>
      <c r="Q84" s="37">
        <f t="shared" si="43"/>
        <v>52.1</v>
      </c>
    </row>
    <row r="85" spans="2:17" x14ac:dyDescent="0.2">
      <c r="B85" s="2" t="s">
        <v>126</v>
      </c>
      <c r="C85" s="36">
        <v>63.6</v>
      </c>
      <c r="D85" s="36">
        <v>214.6</v>
      </c>
      <c r="E85" s="36">
        <v>67.099999999999994</v>
      </c>
      <c r="F85" s="36">
        <v>62.7</v>
      </c>
      <c r="G85" s="36">
        <v>61.5</v>
      </c>
      <c r="H85" s="37">
        <f>-Input!K86</f>
        <v>43.2</v>
      </c>
      <c r="I85" s="37">
        <f>-Input!L86</f>
        <v>43.2</v>
      </c>
      <c r="J85" s="37">
        <f>-Input!M86</f>
        <v>43.2</v>
      </c>
      <c r="K85" s="37">
        <f>-Input!N86</f>
        <v>53.2</v>
      </c>
      <c r="L85" s="37">
        <f>-Input!O86</f>
        <v>53.2</v>
      </c>
      <c r="M85" s="37">
        <f>-Input!P86</f>
        <v>53.2</v>
      </c>
      <c r="N85" s="37">
        <f>-Input!Q86</f>
        <v>65.7</v>
      </c>
      <c r="O85" s="37">
        <f>-Input!R86</f>
        <v>65.7</v>
      </c>
      <c r="P85" s="37">
        <f>-Input!S86</f>
        <v>75.7</v>
      </c>
      <c r="Q85" s="37">
        <f>-Input!T86</f>
        <v>75.7</v>
      </c>
    </row>
    <row r="86" spans="2:17" x14ac:dyDescent="0.2">
      <c r="B86" s="2" t="s">
        <v>127</v>
      </c>
      <c r="C86" s="36">
        <v>625</v>
      </c>
      <c r="D86" s="36">
        <v>520.29999999999995</v>
      </c>
      <c r="E86" s="36">
        <v>507.8</v>
      </c>
      <c r="F86" s="36">
        <v>639.29999999999995</v>
      </c>
      <c r="G86" s="36">
        <v>515.20000000000005</v>
      </c>
      <c r="H86" s="37">
        <f>AVERAGE(C86:G86)</f>
        <v>561.51999999999987</v>
      </c>
      <c r="I86" s="37">
        <f>H86</f>
        <v>561.51999999999987</v>
      </c>
      <c r="J86" s="37">
        <f t="shared" ref="J86:Q86" si="44">I86</f>
        <v>561.51999999999987</v>
      </c>
      <c r="K86" s="37">
        <f t="shared" si="44"/>
        <v>561.51999999999987</v>
      </c>
      <c r="L86" s="37">
        <f t="shared" si="44"/>
        <v>561.51999999999987</v>
      </c>
      <c r="M86" s="37">
        <f t="shared" si="44"/>
        <v>561.51999999999987</v>
      </c>
      <c r="N86" s="37">
        <f t="shared" si="44"/>
        <v>561.51999999999987</v>
      </c>
      <c r="O86" s="37">
        <f t="shared" si="44"/>
        <v>561.51999999999987</v>
      </c>
      <c r="P86" s="37">
        <f t="shared" si="44"/>
        <v>561.51999999999987</v>
      </c>
      <c r="Q86" s="37">
        <f t="shared" si="44"/>
        <v>561.51999999999987</v>
      </c>
    </row>
    <row r="87" spans="2:17" x14ac:dyDescent="0.2">
      <c r="B87" s="2" t="s">
        <v>128</v>
      </c>
      <c r="C87" s="36">
        <v>0</v>
      </c>
      <c r="D87" s="36">
        <v>0</v>
      </c>
      <c r="E87" s="36">
        <v>90.1</v>
      </c>
      <c r="F87" s="36">
        <v>63.7</v>
      </c>
      <c r="G87" s="36">
        <v>74.7</v>
      </c>
      <c r="H87" s="37">
        <f>H9*Input!K44</f>
        <v>92.878209999999996</v>
      </c>
      <c r="I87" s="37">
        <f>I9*Input!L44</f>
        <v>97.420358699999994</v>
      </c>
      <c r="J87" s="37">
        <f>J9*Input!M44</f>
        <v>101.781304894</v>
      </c>
      <c r="K87" s="37">
        <f>K9*Input!N44</f>
        <v>107.63806371344</v>
      </c>
      <c r="L87" s="37">
        <f>L9*Input!O44</f>
        <v>111.76604809676962</v>
      </c>
      <c r="M87" s="37">
        <f>M9*Input!P44</f>
        <v>115.63130522977346</v>
      </c>
      <c r="N87" s="37">
        <f>N9*Input!Q44</f>
        <v>121.56005206822405</v>
      </c>
      <c r="O87" s="37">
        <f>O9*Input!R44</f>
        <v>125.11195859087279</v>
      </c>
      <c r="P87" s="37">
        <f>P9*Input!S44</f>
        <v>130.44196721083523</v>
      </c>
      <c r="Q87" s="37">
        <f>Q9*Input!T44</f>
        <v>134.52234209000329</v>
      </c>
    </row>
    <row r="88" spans="2:17" x14ac:dyDescent="0.2">
      <c r="B88" s="2" t="s">
        <v>313</v>
      </c>
      <c r="C88" s="37">
        <f>C89-C86-C85-C84-C83-C87</f>
        <v>171.49999999999994</v>
      </c>
      <c r="D88" s="37">
        <f t="shared" ref="D88:G88" si="45">D89-D86-D85-D84-D83-D87</f>
        <v>171.50000000000006</v>
      </c>
      <c r="E88" s="37">
        <f t="shared" si="45"/>
        <v>177.00000000000014</v>
      </c>
      <c r="F88" s="37">
        <f t="shared" si="45"/>
        <v>197.40000000000009</v>
      </c>
      <c r="G88" s="37">
        <f t="shared" si="45"/>
        <v>201</v>
      </c>
      <c r="H88" s="37">
        <f>Input!K59</f>
        <v>213.45453538229341</v>
      </c>
      <c r="I88" s="37">
        <f>Input!L59</f>
        <v>223.89339117415017</v>
      </c>
      <c r="J88" s="37">
        <f>Input!M59</f>
        <v>233.91580379027889</v>
      </c>
      <c r="K88" s="37">
        <f>Input!N59</f>
        <v>247.375922505419</v>
      </c>
      <c r="L88" s="37">
        <f>Input!O59</f>
        <v>256.86293769023996</v>
      </c>
      <c r="M88" s="37">
        <f>Input!P59</f>
        <v>265.74614792284916</v>
      </c>
      <c r="N88" s="37">
        <f>Input!Q59</f>
        <v>279.37171092412484</v>
      </c>
      <c r="O88" s="37">
        <f>Input!R59</f>
        <v>287.53477259933715</v>
      </c>
      <c r="P88" s="37">
        <f>Input!S59</f>
        <v>299.7843036094385</v>
      </c>
      <c r="Q88" s="37">
        <f>Input!T59</f>
        <v>309.16190169211472</v>
      </c>
    </row>
    <row r="89" spans="2:17" x14ac:dyDescent="0.2">
      <c r="B89" s="23" t="s">
        <v>129</v>
      </c>
      <c r="C89" s="146">
        <v>1285.8</v>
      </c>
      <c r="D89" s="146">
        <v>1353.2</v>
      </c>
      <c r="E89" s="146">
        <v>1217.9000000000001</v>
      </c>
      <c r="F89" s="146">
        <v>1348.4</v>
      </c>
      <c r="G89" s="146">
        <v>1305.7</v>
      </c>
      <c r="H89" s="38">
        <f>SUM(H83:H88)</f>
        <v>1349.1679584697936</v>
      </c>
      <c r="I89" s="38">
        <f t="shared" ref="I89:Q89" si="46">SUM(I83:I88)</f>
        <v>1382.1895196647749</v>
      </c>
      <c r="J89" s="38">
        <f t="shared" si="46"/>
        <v>1413.6009089263314</v>
      </c>
      <c r="K89" s="38">
        <f t="shared" si="46"/>
        <v>1467.4236963305302</v>
      </c>
      <c r="L89" s="38">
        <f t="shared" si="46"/>
        <v>1497.8483012542342</v>
      </c>
      <c r="M89" s="38">
        <f t="shared" si="46"/>
        <v>1526.7205699483341</v>
      </c>
      <c r="N89" s="38">
        <f t="shared" si="46"/>
        <v>1582.9592651956987</v>
      </c>
      <c r="O89" s="38">
        <f t="shared" si="46"/>
        <v>1609.4253548238846</v>
      </c>
      <c r="P89" s="38">
        <f t="shared" si="46"/>
        <v>1658.7463326633067</v>
      </c>
      <c r="Q89" s="38">
        <f t="shared" si="46"/>
        <v>1689.0929913864209</v>
      </c>
    </row>
    <row r="90" spans="2:17" x14ac:dyDescent="0.2">
      <c r="B90" s="2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</row>
    <row r="91" spans="2:17" x14ac:dyDescent="0.2">
      <c r="B91" s="2" t="s">
        <v>130</v>
      </c>
      <c r="C91" s="36">
        <v>971.4</v>
      </c>
      <c r="D91" s="36">
        <v>1197.2</v>
      </c>
      <c r="E91" s="36">
        <v>1389.7</v>
      </c>
      <c r="F91" s="36">
        <v>1409.2</v>
      </c>
      <c r="G91" s="36">
        <v>1631.9</v>
      </c>
      <c r="H91" s="37">
        <f>Input!K87</f>
        <v>1629.3878602244279</v>
      </c>
      <c r="I91" s="37">
        <f>Input!L87</f>
        <v>1549.8964423546633</v>
      </c>
      <c r="J91" s="37">
        <f>Input!M87</f>
        <v>1474.5220315327329</v>
      </c>
      <c r="K91" s="37">
        <f>Input!N87</f>
        <v>1523.0528804813011</v>
      </c>
      <c r="L91" s="37">
        <f>Input!O87</f>
        <v>1397.3188937185816</v>
      </c>
      <c r="M91" s="37">
        <f>Input!P87</f>
        <v>1263.8036545378575</v>
      </c>
      <c r="N91" s="37">
        <f>Input!Q87</f>
        <v>1300.1589037653082</v>
      </c>
      <c r="O91" s="37">
        <f>Input!R87</f>
        <v>1105.9155015649901</v>
      </c>
      <c r="P91" s="37">
        <f>Input!S87</f>
        <v>1095.689943430044</v>
      </c>
      <c r="Q91" s="37">
        <f>Input!T87</f>
        <v>851.2999999999995</v>
      </c>
    </row>
    <row r="92" spans="2:17" x14ac:dyDescent="0.2">
      <c r="B92" s="2" t="s">
        <v>131</v>
      </c>
      <c r="C92" s="36">
        <v>0</v>
      </c>
      <c r="D92" s="36">
        <v>0</v>
      </c>
      <c r="E92" s="36">
        <v>0</v>
      </c>
      <c r="F92" s="36">
        <v>0</v>
      </c>
      <c r="G92" s="36">
        <v>0</v>
      </c>
      <c r="H92" s="37">
        <f t="shared" ref="H92:Q92" si="47">($G$92/$G$9)*H9</f>
        <v>0</v>
      </c>
      <c r="I92" s="37">
        <f t="shared" si="47"/>
        <v>0</v>
      </c>
      <c r="J92" s="37">
        <f t="shared" si="47"/>
        <v>0</v>
      </c>
      <c r="K92" s="37">
        <f t="shared" si="47"/>
        <v>0</v>
      </c>
      <c r="L92" s="37">
        <f t="shared" si="47"/>
        <v>0</v>
      </c>
      <c r="M92" s="37">
        <f t="shared" si="47"/>
        <v>0</v>
      </c>
      <c r="N92" s="37">
        <f t="shared" si="47"/>
        <v>0</v>
      </c>
      <c r="O92" s="37">
        <f t="shared" si="47"/>
        <v>0</v>
      </c>
      <c r="P92" s="37">
        <f t="shared" si="47"/>
        <v>0</v>
      </c>
      <c r="Q92" s="37">
        <f t="shared" si="47"/>
        <v>0</v>
      </c>
    </row>
    <row r="93" spans="2:17" x14ac:dyDescent="0.2">
      <c r="B93" s="2" t="s">
        <v>132</v>
      </c>
      <c r="C93" s="36">
        <v>22.5</v>
      </c>
      <c r="D93" s="36">
        <v>89.7</v>
      </c>
      <c r="E93" s="36">
        <v>85</v>
      </c>
      <c r="F93" s="36">
        <v>60.2</v>
      </c>
      <c r="G93" s="36">
        <v>39.9</v>
      </c>
      <c r="H93" s="37">
        <f>AVERAGE(C93:G93)</f>
        <v>59.459999999999994</v>
      </c>
      <c r="I93" s="37">
        <f>H93</f>
        <v>59.459999999999994</v>
      </c>
      <c r="J93" s="37">
        <f t="shared" ref="J93:Q93" si="48">I93</f>
        <v>59.459999999999994</v>
      </c>
      <c r="K93" s="37">
        <f t="shared" si="48"/>
        <v>59.459999999999994</v>
      </c>
      <c r="L93" s="37">
        <f t="shared" si="48"/>
        <v>59.459999999999994</v>
      </c>
      <c r="M93" s="37">
        <f t="shared" si="48"/>
        <v>59.459999999999994</v>
      </c>
      <c r="N93" s="37">
        <f t="shared" si="48"/>
        <v>59.459999999999994</v>
      </c>
      <c r="O93" s="37">
        <f t="shared" si="48"/>
        <v>59.459999999999994</v>
      </c>
      <c r="P93" s="37">
        <f t="shared" si="48"/>
        <v>59.459999999999994</v>
      </c>
      <c r="Q93" s="37">
        <f t="shared" si="48"/>
        <v>59.459999999999994</v>
      </c>
    </row>
    <row r="94" spans="2:17" x14ac:dyDescent="0.2">
      <c r="B94" s="2" t="s">
        <v>133</v>
      </c>
      <c r="C94" s="37">
        <f>C95-C92-C91-C93</f>
        <v>547.30000000000007</v>
      </c>
      <c r="D94" s="37">
        <f t="shared" ref="D94:G94" si="49">D95-D92-D91-D93</f>
        <v>511.59999999999997</v>
      </c>
      <c r="E94" s="37">
        <f t="shared" si="49"/>
        <v>441.20000000000005</v>
      </c>
      <c r="F94" s="37">
        <f t="shared" si="49"/>
        <v>497.39999999999992</v>
      </c>
      <c r="G94" s="37">
        <f t="shared" si="49"/>
        <v>506.39999999999975</v>
      </c>
      <c r="H94" s="37">
        <f>Input!K60</f>
        <v>500.77999999999992</v>
      </c>
      <c r="I94" s="37">
        <f>Input!L60</f>
        <v>500.77999999999992</v>
      </c>
      <c r="J94" s="37">
        <f>Input!M60</f>
        <v>500.77999999999992</v>
      </c>
      <c r="K94" s="37">
        <f>Input!N60</f>
        <v>500.77999999999992</v>
      </c>
      <c r="L94" s="37">
        <f>Input!O60</f>
        <v>500.77999999999992</v>
      </c>
      <c r="M94" s="37">
        <f>Input!P60</f>
        <v>500.77999999999992</v>
      </c>
      <c r="N94" s="37">
        <f>Input!Q60</f>
        <v>500.77999999999992</v>
      </c>
      <c r="O94" s="37">
        <f>Input!R60</f>
        <v>500.77999999999992</v>
      </c>
      <c r="P94" s="37">
        <f>Input!S60</f>
        <v>500.77999999999992</v>
      </c>
      <c r="Q94" s="37">
        <f>Input!T60</f>
        <v>500.77999999999992</v>
      </c>
    </row>
    <row r="95" spans="2:17" x14ac:dyDescent="0.2">
      <c r="B95" s="23" t="s">
        <v>134</v>
      </c>
      <c r="C95" s="146">
        <v>1541.2</v>
      </c>
      <c r="D95" s="146">
        <v>1798.5</v>
      </c>
      <c r="E95" s="146">
        <v>1915.9</v>
      </c>
      <c r="F95" s="146">
        <v>1966.8</v>
      </c>
      <c r="G95" s="146">
        <v>2178.1999999999998</v>
      </c>
      <c r="H95" s="38">
        <f t="shared" ref="H95:Q95" si="50">SUM(H91:H94)</f>
        <v>2189.6278602244279</v>
      </c>
      <c r="I95" s="38">
        <f t="shared" si="50"/>
        <v>2110.1364423546634</v>
      </c>
      <c r="J95" s="38">
        <f t="shared" si="50"/>
        <v>2034.7620315327329</v>
      </c>
      <c r="K95" s="38">
        <f t="shared" si="50"/>
        <v>2083.2928804813009</v>
      </c>
      <c r="L95" s="38">
        <f t="shared" si="50"/>
        <v>1957.5588937185817</v>
      </c>
      <c r="M95" s="38">
        <f t="shared" si="50"/>
        <v>1824.0436545378575</v>
      </c>
      <c r="N95" s="38">
        <f t="shared" si="50"/>
        <v>1860.3989037653082</v>
      </c>
      <c r="O95" s="38">
        <f t="shared" si="50"/>
        <v>1666.1555015649901</v>
      </c>
      <c r="P95" s="38">
        <f t="shared" si="50"/>
        <v>1655.929943430044</v>
      </c>
      <c r="Q95" s="38">
        <f t="shared" si="50"/>
        <v>1411.5399999999995</v>
      </c>
    </row>
    <row r="96" spans="2:17" x14ac:dyDescent="0.2">
      <c r="B96" s="22"/>
      <c r="C96" s="148"/>
      <c r="D96" s="148"/>
      <c r="E96" s="148"/>
      <c r="F96" s="148"/>
      <c r="G96" s="148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spans="2:17" x14ac:dyDescent="0.2">
      <c r="B97" s="22" t="s">
        <v>135</v>
      </c>
      <c r="C97" s="149">
        <f t="shared" ref="C97:Q97" si="51">C95+C89</f>
        <v>2827</v>
      </c>
      <c r="D97" s="149">
        <f t="shared" si="51"/>
        <v>3151.7</v>
      </c>
      <c r="E97" s="149">
        <f t="shared" si="51"/>
        <v>3133.8</v>
      </c>
      <c r="F97" s="149">
        <f t="shared" si="51"/>
        <v>3315.2</v>
      </c>
      <c r="G97" s="149">
        <f t="shared" si="51"/>
        <v>3483.8999999999996</v>
      </c>
      <c r="H97" s="150">
        <f t="shared" si="51"/>
        <v>3538.7958186942215</v>
      </c>
      <c r="I97" s="150">
        <f t="shared" si="51"/>
        <v>3492.3259620194385</v>
      </c>
      <c r="J97" s="150">
        <f t="shared" si="51"/>
        <v>3448.3629404590642</v>
      </c>
      <c r="K97" s="150">
        <f t="shared" si="51"/>
        <v>3550.7165768118311</v>
      </c>
      <c r="L97" s="150">
        <f t="shared" si="51"/>
        <v>3455.4071949728159</v>
      </c>
      <c r="M97" s="150">
        <f t="shared" si="51"/>
        <v>3350.7642244861918</v>
      </c>
      <c r="N97" s="150">
        <f t="shared" si="51"/>
        <v>3443.3581689610069</v>
      </c>
      <c r="O97" s="150">
        <f t="shared" si="51"/>
        <v>3275.580856388875</v>
      </c>
      <c r="P97" s="150">
        <f t="shared" si="51"/>
        <v>3314.6762760933507</v>
      </c>
      <c r="Q97" s="150">
        <f t="shared" si="51"/>
        <v>3100.6329913864201</v>
      </c>
    </row>
    <row r="98" spans="2:17" x14ac:dyDescent="0.2">
      <c r="B98" s="2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</row>
    <row r="99" spans="2:17" x14ac:dyDescent="0.2">
      <c r="B99" s="2" t="s">
        <v>136</v>
      </c>
      <c r="C99" s="36">
        <v>0</v>
      </c>
      <c r="D99" s="36">
        <v>0</v>
      </c>
      <c r="E99" s="36">
        <v>0</v>
      </c>
      <c r="F99" s="36">
        <v>0</v>
      </c>
      <c r="G99" s="36">
        <v>0</v>
      </c>
      <c r="H99" s="37">
        <f>G99</f>
        <v>0</v>
      </c>
      <c r="I99" s="37">
        <f t="shared" ref="I99:Q102" si="52">H99</f>
        <v>0</v>
      </c>
      <c r="J99" s="37">
        <f t="shared" si="52"/>
        <v>0</v>
      </c>
      <c r="K99" s="37">
        <f t="shared" si="52"/>
        <v>0</v>
      </c>
      <c r="L99" s="37">
        <f t="shared" si="52"/>
        <v>0</v>
      </c>
      <c r="M99" s="37">
        <f t="shared" si="52"/>
        <v>0</v>
      </c>
      <c r="N99" s="37">
        <f t="shared" si="52"/>
        <v>0</v>
      </c>
      <c r="O99" s="37">
        <f t="shared" si="52"/>
        <v>0</v>
      </c>
      <c r="P99" s="37">
        <f t="shared" si="52"/>
        <v>0</v>
      </c>
      <c r="Q99" s="37">
        <f t="shared" si="52"/>
        <v>0</v>
      </c>
    </row>
    <row r="100" spans="2:17" x14ac:dyDescent="0.2">
      <c r="B100" s="2" t="s">
        <v>137</v>
      </c>
      <c r="C100" s="36">
        <v>0.7</v>
      </c>
      <c r="D100" s="36">
        <v>0.7</v>
      </c>
      <c r="E100" s="36">
        <v>0.6</v>
      </c>
      <c r="F100" s="36">
        <v>0.6</v>
      </c>
      <c r="G100" s="36">
        <v>0.6</v>
      </c>
      <c r="H100" s="37">
        <f>G100</f>
        <v>0.6</v>
      </c>
      <c r="I100" s="37">
        <f t="shared" si="52"/>
        <v>0.6</v>
      </c>
      <c r="J100" s="37">
        <f t="shared" si="52"/>
        <v>0.6</v>
      </c>
      <c r="K100" s="37">
        <f t="shared" si="52"/>
        <v>0.6</v>
      </c>
      <c r="L100" s="37">
        <f t="shared" si="52"/>
        <v>0.6</v>
      </c>
      <c r="M100" s="37">
        <f t="shared" si="52"/>
        <v>0.6</v>
      </c>
      <c r="N100" s="37">
        <f t="shared" si="52"/>
        <v>0.6</v>
      </c>
      <c r="O100" s="37">
        <f t="shared" si="52"/>
        <v>0.6</v>
      </c>
      <c r="P100" s="37">
        <f t="shared" si="52"/>
        <v>0.6</v>
      </c>
      <c r="Q100" s="37">
        <f t="shared" si="52"/>
        <v>0.6</v>
      </c>
    </row>
    <row r="101" spans="2:17" x14ac:dyDescent="0.2">
      <c r="B101" s="2" t="s">
        <v>138</v>
      </c>
      <c r="C101" s="36">
        <v>750.9</v>
      </c>
      <c r="D101" s="36">
        <v>675.5</v>
      </c>
      <c r="E101" s="36">
        <v>558.9</v>
      </c>
      <c r="F101" s="36">
        <v>527.4</v>
      </c>
      <c r="G101" s="36">
        <v>437.4</v>
      </c>
      <c r="H101" s="37">
        <f>G101</f>
        <v>437.4</v>
      </c>
      <c r="I101" s="37">
        <f t="shared" si="52"/>
        <v>437.4</v>
      </c>
      <c r="J101" s="37">
        <f t="shared" si="52"/>
        <v>437.4</v>
      </c>
      <c r="K101" s="37">
        <f t="shared" si="52"/>
        <v>437.4</v>
      </c>
      <c r="L101" s="37">
        <f t="shared" si="52"/>
        <v>437.4</v>
      </c>
      <c r="M101" s="37">
        <f t="shared" si="52"/>
        <v>437.4</v>
      </c>
      <c r="N101" s="37">
        <f t="shared" si="52"/>
        <v>437.4</v>
      </c>
      <c r="O101" s="37">
        <f t="shared" si="52"/>
        <v>437.4</v>
      </c>
      <c r="P101" s="37">
        <f t="shared" si="52"/>
        <v>437.4</v>
      </c>
      <c r="Q101" s="37">
        <f t="shared" si="52"/>
        <v>437.4</v>
      </c>
    </row>
    <row r="102" spans="2:17" x14ac:dyDescent="0.2">
      <c r="B102" s="2" t="s">
        <v>139</v>
      </c>
      <c r="C102" s="36">
        <v>0</v>
      </c>
      <c r="D102" s="36">
        <v>0</v>
      </c>
      <c r="E102" s="36">
        <v>0</v>
      </c>
      <c r="F102" s="36">
        <v>0</v>
      </c>
      <c r="G102" s="36">
        <v>0</v>
      </c>
      <c r="H102" s="37">
        <f>G102</f>
        <v>0</v>
      </c>
      <c r="I102" s="37">
        <f t="shared" si="52"/>
        <v>0</v>
      </c>
      <c r="J102" s="37">
        <f t="shared" si="52"/>
        <v>0</v>
      </c>
      <c r="K102" s="37">
        <f t="shared" si="52"/>
        <v>0</v>
      </c>
      <c r="L102" s="37">
        <f t="shared" si="52"/>
        <v>0</v>
      </c>
      <c r="M102" s="37">
        <f t="shared" si="52"/>
        <v>0</v>
      </c>
      <c r="N102" s="37">
        <f t="shared" si="52"/>
        <v>0</v>
      </c>
      <c r="O102" s="37">
        <f t="shared" si="52"/>
        <v>0</v>
      </c>
      <c r="P102" s="37">
        <f t="shared" si="52"/>
        <v>0</v>
      </c>
      <c r="Q102" s="37">
        <f t="shared" si="52"/>
        <v>0</v>
      </c>
    </row>
    <row r="103" spans="2:17" x14ac:dyDescent="0.2">
      <c r="B103" s="2" t="s">
        <v>140</v>
      </c>
      <c r="C103" s="36">
        <v>880.1</v>
      </c>
      <c r="D103" s="36">
        <v>1057.2</v>
      </c>
      <c r="E103" s="36">
        <v>1249.5999999999999</v>
      </c>
      <c r="F103" s="36">
        <v>1272.9000000000001</v>
      </c>
      <c r="G103" s="36">
        <v>1368.1</v>
      </c>
      <c r="H103" s="37">
        <f t="shared" ref="H103:Q103" si="53">G103+H28+H171</f>
        <v>1487.9597338750002</v>
      </c>
      <c r="I103" s="37">
        <f t="shared" si="53"/>
        <v>1631.2235237772697</v>
      </c>
      <c r="J103" s="37">
        <f t="shared" si="53"/>
        <v>1780.073459779042</v>
      </c>
      <c r="K103" s="37">
        <f t="shared" si="53"/>
        <v>1955.7836442102519</v>
      </c>
      <c r="L103" s="37">
        <f t="shared" si="53"/>
        <v>2162.2661891436319</v>
      </c>
      <c r="M103" s="37">
        <f t="shared" si="53"/>
        <v>2383.4437867329643</v>
      </c>
      <c r="N103" s="37">
        <f t="shared" si="53"/>
        <v>2624.6087072769069</v>
      </c>
      <c r="O103" s="37">
        <f t="shared" si="53"/>
        <v>2874.9735369976424</v>
      </c>
      <c r="P103" s="37">
        <f t="shared" si="53"/>
        <v>3145.7694617766115</v>
      </c>
      <c r="Q103" s="37">
        <f t="shared" si="53"/>
        <v>3428.6842909386182</v>
      </c>
    </row>
    <row r="104" spans="2:17" x14ac:dyDescent="0.2">
      <c r="B104" s="2" t="s">
        <v>38</v>
      </c>
      <c r="C104" s="37">
        <f t="shared" ref="C104:G104" si="54">C105-C103-C102-C101-C100-C99</f>
        <v>-22.499999999999954</v>
      </c>
      <c r="D104" s="37">
        <f t="shared" si="54"/>
        <v>-16.2</v>
      </c>
      <c r="E104" s="37">
        <f t="shared" si="54"/>
        <v>-9.199999999999795</v>
      </c>
      <c r="F104" s="37">
        <f t="shared" si="54"/>
        <v>-18.90000000000007</v>
      </c>
      <c r="G104" s="37">
        <f t="shared" si="54"/>
        <v>-20.499999999999979</v>
      </c>
      <c r="H104" s="37">
        <f>H80-H97-H99-H100-H101-H102-H103</f>
        <v>102.42489765785717</v>
      </c>
      <c r="I104" s="37">
        <f t="shared" ref="I104:Q104" si="55">I80-I97-I99-I100-I101-I102-I103</f>
        <v>76.060721463104983</v>
      </c>
      <c r="J104" s="37">
        <f t="shared" si="55"/>
        <v>42.3715318743034</v>
      </c>
      <c r="K104" s="37">
        <f t="shared" si="55"/>
        <v>75.042502137240945</v>
      </c>
      <c r="L104" s="37">
        <f t="shared" si="55"/>
        <v>35.511922172602681</v>
      </c>
      <c r="M104" s="37">
        <f t="shared" si="55"/>
        <v>-13.636149657680107</v>
      </c>
      <c r="N104" s="37">
        <f t="shared" si="55"/>
        <v>19.953987237325691</v>
      </c>
      <c r="O104" s="37">
        <f t="shared" si="55"/>
        <v>-4.0504741836757603</v>
      </c>
      <c r="P104" s="37">
        <f t="shared" si="55"/>
        <v>-12.112264944385515</v>
      </c>
      <c r="Q104" s="37">
        <f t="shared" si="55"/>
        <v>-4.5385370592043728</v>
      </c>
    </row>
    <row r="105" spans="2:17" x14ac:dyDescent="0.2">
      <c r="B105" s="23" t="s">
        <v>141</v>
      </c>
      <c r="C105" s="146">
        <v>1609.2</v>
      </c>
      <c r="D105" s="146">
        <v>1717.2</v>
      </c>
      <c r="E105" s="146">
        <v>1799.9</v>
      </c>
      <c r="F105" s="146">
        <v>1782</v>
      </c>
      <c r="G105" s="146">
        <v>1785.6</v>
      </c>
      <c r="H105" s="38">
        <f>SUM(H99:H104)</f>
        <v>2028.3846315328574</v>
      </c>
      <c r="I105" s="38">
        <f t="shared" ref="I105:Q105" si="56">SUM(I99:I104)</f>
        <v>2145.2842452403747</v>
      </c>
      <c r="J105" s="38">
        <f t="shared" si="56"/>
        <v>2260.4449916533454</v>
      </c>
      <c r="K105" s="38">
        <f t="shared" si="56"/>
        <v>2468.8261463474928</v>
      </c>
      <c r="L105" s="38">
        <f t="shared" si="56"/>
        <v>2635.7781113162346</v>
      </c>
      <c r="M105" s="38">
        <f t="shared" si="56"/>
        <v>2807.8076370752842</v>
      </c>
      <c r="N105" s="38">
        <f t="shared" si="56"/>
        <v>3082.5626945142326</v>
      </c>
      <c r="O105" s="38">
        <f t="shared" si="56"/>
        <v>3308.9230628139667</v>
      </c>
      <c r="P105" s="38">
        <f t="shared" si="56"/>
        <v>3571.657196832226</v>
      </c>
      <c r="Q105" s="38">
        <f t="shared" si="56"/>
        <v>3862.1457538794139</v>
      </c>
    </row>
    <row r="106" spans="2:17" x14ac:dyDescent="0.2"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</row>
    <row r="107" spans="2:17" ht="16" thickBot="1" x14ac:dyDescent="0.25">
      <c r="B107" s="40" t="s">
        <v>142</v>
      </c>
      <c r="C107" s="147">
        <f t="shared" ref="C107:Q107" si="57">C105+C95+C89</f>
        <v>4436.2</v>
      </c>
      <c r="D107" s="147">
        <f t="shared" si="57"/>
        <v>4868.8999999999996</v>
      </c>
      <c r="E107" s="147">
        <f t="shared" si="57"/>
        <v>4933.7000000000007</v>
      </c>
      <c r="F107" s="147">
        <f t="shared" si="57"/>
        <v>5097.2000000000007</v>
      </c>
      <c r="G107" s="147">
        <f t="shared" si="57"/>
        <v>5269.5</v>
      </c>
      <c r="H107" s="147">
        <f t="shared" si="57"/>
        <v>5567.1804502270788</v>
      </c>
      <c r="I107" s="147">
        <f t="shared" si="57"/>
        <v>5637.6102072598133</v>
      </c>
      <c r="J107" s="147">
        <f t="shared" si="57"/>
        <v>5708.8079321124096</v>
      </c>
      <c r="K107" s="147">
        <f t="shared" si="57"/>
        <v>6019.5427231593239</v>
      </c>
      <c r="L107" s="147">
        <f t="shared" si="57"/>
        <v>6091.1853062890514</v>
      </c>
      <c r="M107" s="147">
        <f t="shared" si="57"/>
        <v>6158.571861561476</v>
      </c>
      <c r="N107" s="147">
        <f t="shared" si="57"/>
        <v>6525.9208634752395</v>
      </c>
      <c r="O107" s="147">
        <f t="shared" si="57"/>
        <v>6584.5039192028416</v>
      </c>
      <c r="P107" s="147">
        <f t="shared" si="57"/>
        <v>6886.3334729255766</v>
      </c>
      <c r="Q107" s="147">
        <f t="shared" si="57"/>
        <v>6962.7787452658349</v>
      </c>
    </row>
    <row r="108" spans="2:17" ht="16" thickTop="1" x14ac:dyDescent="0.2">
      <c r="B108" s="1" t="s">
        <v>143</v>
      </c>
      <c r="C108" s="37">
        <f t="shared" ref="C108:Q108" si="58">C107-C80</f>
        <v>0</v>
      </c>
      <c r="D108" s="37">
        <f t="shared" si="58"/>
        <v>0</v>
      </c>
      <c r="E108" s="37">
        <f t="shared" si="58"/>
        <v>0</v>
      </c>
      <c r="F108" s="37">
        <f t="shared" si="58"/>
        <v>0</v>
      </c>
      <c r="G108" s="37">
        <f t="shared" si="58"/>
        <v>0</v>
      </c>
      <c r="H108" s="37">
        <f t="shared" si="58"/>
        <v>0</v>
      </c>
      <c r="I108" s="37">
        <f t="shared" si="58"/>
        <v>0</v>
      </c>
      <c r="J108" s="37">
        <f t="shared" si="58"/>
        <v>0</v>
      </c>
      <c r="K108" s="37">
        <f t="shared" si="58"/>
        <v>0</v>
      </c>
      <c r="L108" s="37">
        <f t="shared" si="58"/>
        <v>0</v>
      </c>
      <c r="M108" s="37">
        <f t="shared" si="58"/>
        <v>0</v>
      </c>
      <c r="N108" s="37">
        <f t="shared" si="58"/>
        <v>0</v>
      </c>
      <c r="O108" s="37">
        <f t="shared" si="58"/>
        <v>0</v>
      </c>
      <c r="P108" s="37">
        <f t="shared" si="58"/>
        <v>0</v>
      </c>
      <c r="Q108" s="37">
        <f t="shared" si="58"/>
        <v>0</v>
      </c>
    </row>
    <row r="109" spans="2:17" x14ac:dyDescent="0.2"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</row>
    <row r="110" spans="2:17" x14ac:dyDescent="0.2">
      <c r="B110" s="1" t="s">
        <v>144</v>
      </c>
      <c r="C110" s="37">
        <f>C114-C64</f>
        <v>972.2</v>
      </c>
      <c r="D110" s="37">
        <f t="shared" ref="D110:Q110" si="59">D114-D64</f>
        <v>1338.8</v>
      </c>
      <c r="E110" s="37">
        <f t="shared" si="59"/>
        <v>1387.3</v>
      </c>
      <c r="F110" s="37">
        <f t="shared" si="59"/>
        <v>1407.3000000000002</v>
      </c>
      <c r="G110" s="37">
        <f t="shared" si="59"/>
        <v>1589.3000000000002</v>
      </c>
      <c r="H110" s="37">
        <f t="shared" si="59"/>
        <v>1572.5878602244279</v>
      </c>
      <c r="I110" s="37">
        <f t="shared" si="59"/>
        <v>1493.0964423546636</v>
      </c>
      <c r="J110" s="37">
        <f t="shared" si="59"/>
        <v>1417.7220315327327</v>
      </c>
      <c r="K110" s="37">
        <f t="shared" si="59"/>
        <v>1476.2528804813012</v>
      </c>
      <c r="L110" s="37">
        <f t="shared" si="59"/>
        <v>1350.5188937185817</v>
      </c>
      <c r="M110" s="37">
        <f t="shared" si="59"/>
        <v>1217.0036545378575</v>
      </c>
      <c r="N110" s="37">
        <f t="shared" si="59"/>
        <v>1265.8589037653082</v>
      </c>
      <c r="O110" s="37">
        <f t="shared" si="59"/>
        <v>1071.6155015649902</v>
      </c>
      <c r="P110" s="37">
        <f t="shared" si="59"/>
        <v>1071.389943430044</v>
      </c>
      <c r="Q110" s="37">
        <f t="shared" si="59"/>
        <v>822.05422750977084</v>
      </c>
    </row>
    <row r="111" spans="2:17" x14ac:dyDescent="0.2">
      <c r="B111" s="1" t="s">
        <v>145</v>
      </c>
      <c r="C111" s="37"/>
      <c r="D111" s="37">
        <f>D110-C110</f>
        <v>366.59999999999991</v>
      </c>
      <c r="E111" s="37">
        <f t="shared" ref="E111:Q111" si="60">E110-D110</f>
        <v>48.5</v>
      </c>
      <c r="F111" s="37">
        <f t="shared" si="60"/>
        <v>20.000000000000227</v>
      </c>
      <c r="G111" s="37">
        <f t="shared" si="60"/>
        <v>182</v>
      </c>
      <c r="H111" s="37">
        <f t="shared" si="60"/>
        <v>-16.712139775572268</v>
      </c>
      <c r="I111" s="37">
        <f t="shared" si="60"/>
        <v>-79.491417869764291</v>
      </c>
      <c r="J111" s="37">
        <f t="shared" si="60"/>
        <v>-75.374410821930951</v>
      </c>
      <c r="K111" s="37">
        <f t="shared" si="60"/>
        <v>58.530848948568519</v>
      </c>
      <c r="L111" s="37">
        <f t="shared" si="60"/>
        <v>-125.7339867627195</v>
      </c>
      <c r="M111" s="37">
        <f t="shared" si="60"/>
        <v>-133.51523918072417</v>
      </c>
      <c r="N111" s="37">
        <f t="shared" si="60"/>
        <v>48.855249227450713</v>
      </c>
      <c r="O111" s="37">
        <f t="shared" si="60"/>
        <v>-194.24340220031809</v>
      </c>
      <c r="P111" s="37">
        <f t="shared" si="60"/>
        <v>-0.22555813494614085</v>
      </c>
      <c r="Q111" s="37">
        <f t="shared" si="60"/>
        <v>-249.33571592027317</v>
      </c>
    </row>
    <row r="112" spans="2:17" x14ac:dyDescent="0.2"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</row>
    <row r="113" spans="2:17" x14ac:dyDescent="0.2">
      <c r="B113" s="7" t="s">
        <v>146</v>
      </c>
      <c r="C113" s="35">
        <f>SUM(C114:C116)</f>
        <v>3191.5</v>
      </c>
      <c r="D113" s="35">
        <f t="shared" ref="D113:Q113" si="61">SUM(D114:D116)</f>
        <v>3640.6</v>
      </c>
      <c r="E113" s="35">
        <f t="shared" si="61"/>
        <v>3697.8999999999996</v>
      </c>
      <c r="F113" s="35">
        <f t="shared" si="61"/>
        <v>3751.3</v>
      </c>
      <c r="G113" s="35">
        <f t="shared" si="61"/>
        <v>3985.3999999999996</v>
      </c>
      <c r="H113" s="35">
        <f t="shared" si="61"/>
        <v>4201.7524917572855</v>
      </c>
      <c r="I113" s="35">
        <f t="shared" si="61"/>
        <v>4239.1606875950383</v>
      </c>
      <c r="J113" s="35">
        <f t="shared" si="61"/>
        <v>4278.9470231860778</v>
      </c>
      <c r="K113" s="35">
        <f t="shared" si="61"/>
        <v>4545.8590268287935</v>
      </c>
      <c r="L113" s="35">
        <f t="shared" si="61"/>
        <v>4587.0770050348165</v>
      </c>
      <c r="M113" s="35">
        <f t="shared" si="61"/>
        <v>4625.591291613141</v>
      </c>
      <c r="N113" s="35">
        <f t="shared" si="61"/>
        <v>4949.201598279541</v>
      </c>
      <c r="O113" s="35">
        <f t="shared" si="61"/>
        <v>4981.3185643789566</v>
      </c>
      <c r="P113" s="35">
        <f t="shared" si="61"/>
        <v>5243.8271402622695</v>
      </c>
      <c r="Q113" s="35">
        <f t="shared" si="61"/>
        <v>5289.9257538794127</v>
      </c>
    </row>
    <row r="114" spans="2:17" x14ac:dyDescent="0.2">
      <c r="B114" s="2" t="s">
        <v>147</v>
      </c>
      <c r="C114" s="37">
        <f t="shared" ref="C114:Q114" si="62">C91+C85</f>
        <v>1035</v>
      </c>
      <c r="D114" s="37">
        <f t="shared" si="62"/>
        <v>1411.8</v>
      </c>
      <c r="E114" s="37">
        <f t="shared" si="62"/>
        <v>1456.8</v>
      </c>
      <c r="F114" s="37">
        <f t="shared" si="62"/>
        <v>1471.9</v>
      </c>
      <c r="G114" s="37">
        <f t="shared" si="62"/>
        <v>1693.4</v>
      </c>
      <c r="H114" s="37">
        <f t="shared" si="62"/>
        <v>1672.5878602244279</v>
      </c>
      <c r="I114" s="37">
        <f t="shared" si="62"/>
        <v>1593.0964423546634</v>
      </c>
      <c r="J114" s="37">
        <f t="shared" si="62"/>
        <v>1517.7220315327329</v>
      </c>
      <c r="K114" s="37">
        <f t="shared" si="62"/>
        <v>1576.2528804813012</v>
      </c>
      <c r="L114" s="37">
        <f t="shared" si="62"/>
        <v>1450.5188937185817</v>
      </c>
      <c r="M114" s="37">
        <f t="shared" si="62"/>
        <v>1317.0036545378575</v>
      </c>
      <c r="N114" s="37">
        <f t="shared" si="62"/>
        <v>1365.8589037653082</v>
      </c>
      <c r="O114" s="37">
        <f t="shared" si="62"/>
        <v>1171.6155015649902</v>
      </c>
      <c r="P114" s="37">
        <f t="shared" si="62"/>
        <v>1171.389943430044</v>
      </c>
      <c r="Q114" s="37">
        <f t="shared" si="62"/>
        <v>926.99999999999955</v>
      </c>
    </row>
    <row r="115" spans="2:17" x14ac:dyDescent="0.2">
      <c r="B115" s="2" t="s">
        <v>148</v>
      </c>
      <c r="C115" s="37">
        <f>C105</f>
        <v>1609.2</v>
      </c>
      <c r="D115" s="37">
        <f t="shared" ref="D115:Q115" si="63">D105</f>
        <v>1717.2</v>
      </c>
      <c r="E115" s="37">
        <f t="shared" si="63"/>
        <v>1799.9</v>
      </c>
      <c r="F115" s="37">
        <f t="shared" si="63"/>
        <v>1782</v>
      </c>
      <c r="G115" s="37">
        <f t="shared" si="63"/>
        <v>1785.6</v>
      </c>
      <c r="H115" s="37">
        <f t="shared" si="63"/>
        <v>2028.3846315328574</v>
      </c>
      <c r="I115" s="37">
        <f t="shared" si="63"/>
        <v>2145.2842452403747</v>
      </c>
      <c r="J115" s="37">
        <f t="shared" si="63"/>
        <v>2260.4449916533454</v>
      </c>
      <c r="K115" s="37">
        <f t="shared" si="63"/>
        <v>2468.8261463474928</v>
      </c>
      <c r="L115" s="37">
        <f t="shared" si="63"/>
        <v>2635.7781113162346</v>
      </c>
      <c r="M115" s="37">
        <f t="shared" si="63"/>
        <v>2807.8076370752842</v>
      </c>
      <c r="N115" s="37">
        <f t="shared" si="63"/>
        <v>3082.5626945142326</v>
      </c>
      <c r="O115" s="37">
        <f t="shared" si="63"/>
        <v>3308.9230628139667</v>
      </c>
      <c r="P115" s="37">
        <f t="shared" si="63"/>
        <v>3571.657196832226</v>
      </c>
      <c r="Q115" s="37">
        <f t="shared" si="63"/>
        <v>3862.1457538794139</v>
      </c>
    </row>
    <row r="116" spans="2:17" x14ac:dyDescent="0.2">
      <c r="B116" s="2" t="s">
        <v>149</v>
      </c>
      <c r="C116" s="37">
        <f t="shared" ref="C116:Q116" si="64">C94+C92</f>
        <v>547.30000000000007</v>
      </c>
      <c r="D116" s="37">
        <f t="shared" si="64"/>
        <v>511.59999999999997</v>
      </c>
      <c r="E116" s="37">
        <f t="shared" si="64"/>
        <v>441.20000000000005</v>
      </c>
      <c r="F116" s="37">
        <f t="shared" si="64"/>
        <v>497.39999999999992</v>
      </c>
      <c r="G116" s="37">
        <f t="shared" si="64"/>
        <v>506.39999999999975</v>
      </c>
      <c r="H116" s="37">
        <f t="shared" si="64"/>
        <v>500.77999999999992</v>
      </c>
      <c r="I116" s="37">
        <f t="shared" si="64"/>
        <v>500.77999999999992</v>
      </c>
      <c r="J116" s="37">
        <f t="shared" si="64"/>
        <v>500.77999999999992</v>
      </c>
      <c r="K116" s="37">
        <f t="shared" si="64"/>
        <v>500.77999999999992</v>
      </c>
      <c r="L116" s="37">
        <f t="shared" si="64"/>
        <v>500.77999999999992</v>
      </c>
      <c r="M116" s="37">
        <f t="shared" si="64"/>
        <v>500.77999999999992</v>
      </c>
      <c r="N116" s="37">
        <f t="shared" si="64"/>
        <v>500.77999999999992</v>
      </c>
      <c r="O116" s="37">
        <f t="shared" si="64"/>
        <v>500.77999999999992</v>
      </c>
      <c r="P116" s="37">
        <f t="shared" si="64"/>
        <v>500.77999999999992</v>
      </c>
      <c r="Q116" s="37">
        <f t="shared" si="64"/>
        <v>500.77999999999992</v>
      </c>
    </row>
    <row r="117" spans="2:17" x14ac:dyDescent="0.2"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</row>
    <row r="118" spans="2:17" x14ac:dyDescent="0.2">
      <c r="B118" s="7" t="s">
        <v>150</v>
      </c>
      <c r="C118" s="35">
        <f>SUM(C119:C121)</f>
        <v>3214</v>
      </c>
      <c r="D118" s="35">
        <f t="shared" ref="D118:Q118" si="65">SUM(D119:D121)</f>
        <v>3730.2999999999997</v>
      </c>
      <c r="E118" s="35">
        <f t="shared" si="65"/>
        <v>3782.8999999999996</v>
      </c>
      <c r="F118" s="35">
        <f t="shared" si="65"/>
        <v>3811.5</v>
      </c>
      <c r="G118" s="35">
        <f t="shared" si="65"/>
        <v>4025.3</v>
      </c>
      <c r="H118" s="35">
        <f t="shared" si="65"/>
        <v>4261.2124917572846</v>
      </c>
      <c r="I118" s="35">
        <f t="shared" si="65"/>
        <v>4298.6206875950384</v>
      </c>
      <c r="J118" s="35">
        <f t="shared" si="65"/>
        <v>4338.4070231860787</v>
      </c>
      <c r="K118" s="35">
        <f t="shared" si="65"/>
        <v>4605.3190268287935</v>
      </c>
      <c r="L118" s="35">
        <f t="shared" si="65"/>
        <v>4646.5370050348165</v>
      </c>
      <c r="M118" s="35">
        <f t="shared" si="65"/>
        <v>4685.051291613142</v>
      </c>
      <c r="N118" s="35">
        <f t="shared" si="65"/>
        <v>5008.6615982795411</v>
      </c>
      <c r="O118" s="35">
        <f t="shared" si="65"/>
        <v>5040.7785643789566</v>
      </c>
      <c r="P118" s="35">
        <f t="shared" si="65"/>
        <v>5303.2871402622704</v>
      </c>
      <c r="Q118" s="35">
        <f t="shared" si="65"/>
        <v>5349.3857538794127</v>
      </c>
    </row>
    <row r="119" spans="2:17" x14ac:dyDescent="0.2">
      <c r="B119" s="2" t="s">
        <v>151</v>
      </c>
      <c r="C119" s="37">
        <f>C69-(C89-C85)</f>
        <v>178.89999999999986</v>
      </c>
      <c r="D119" s="37">
        <f t="shared" ref="D119:Q119" si="66">D69-(D89-D85)</f>
        <v>422.59999999999991</v>
      </c>
      <c r="E119" s="37">
        <f t="shared" si="66"/>
        <v>559.89999999999986</v>
      </c>
      <c r="F119" s="37">
        <f t="shared" si="66"/>
        <v>503</v>
      </c>
      <c r="G119" s="37">
        <f t="shared" si="66"/>
        <v>694.5</v>
      </c>
      <c r="H119" s="37">
        <f t="shared" si="66"/>
        <v>692.60022059942798</v>
      </c>
      <c r="I119" s="37">
        <f t="shared" si="66"/>
        <v>752.42690644129789</v>
      </c>
      <c r="J119" s="37">
        <f t="shared" si="66"/>
        <v>810.15971660565083</v>
      </c>
      <c r="K119" s="37">
        <f t="shared" si="66"/>
        <v>886.0577542159715</v>
      </c>
      <c r="L119" s="37">
        <f t="shared" si="66"/>
        <v>940.015264256416</v>
      </c>
      <c r="M119" s="37">
        <f t="shared" si="66"/>
        <v>990.1545763910317</v>
      </c>
      <c r="N119" s="37">
        <f t="shared" si="66"/>
        <v>1067.6082478919013</v>
      </c>
      <c r="O119" s="37">
        <f t="shared" si="66"/>
        <v>1113.7483884971502</v>
      </c>
      <c r="P119" s="37">
        <f t="shared" si="66"/>
        <v>1183.3806813982528</v>
      </c>
      <c r="Q119" s="37">
        <f t="shared" si="66"/>
        <v>1241.388701347581</v>
      </c>
    </row>
    <row r="120" spans="2:17" x14ac:dyDescent="0.2">
      <c r="B120" s="2" t="s">
        <v>152</v>
      </c>
      <c r="C120" s="37">
        <f>C71</f>
        <v>238.4</v>
      </c>
      <c r="D120" s="37">
        <f t="shared" ref="D120:Q120" si="67">D71</f>
        <v>240.6</v>
      </c>
      <c r="E120" s="37">
        <f t="shared" si="67"/>
        <v>244.9</v>
      </c>
      <c r="F120" s="37">
        <f t="shared" si="67"/>
        <v>251.9</v>
      </c>
      <c r="G120" s="37">
        <f t="shared" si="67"/>
        <v>272.39999999999998</v>
      </c>
      <c r="H120" s="37">
        <f t="shared" si="67"/>
        <v>289.27868377182449</v>
      </c>
      <c r="I120" s="37">
        <f t="shared" si="67"/>
        <v>303.42567042705724</v>
      </c>
      <c r="J120" s="37">
        <f t="shared" si="67"/>
        <v>317.00828334563164</v>
      </c>
      <c r="K120" s="37">
        <f t="shared" si="67"/>
        <v>335.24975766406038</v>
      </c>
      <c r="L120" s="37">
        <f t="shared" si="67"/>
        <v>348.10678719811619</v>
      </c>
      <c r="M120" s="37">
        <f t="shared" si="67"/>
        <v>360.14552584171201</v>
      </c>
      <c r="N120" s="37">
        <f t="shared" si="67"/>
        <v>378.61121420761992</v>
      </c>
      <c r="O120" s="37">
        <f t="shared" si="67"/>
        <v>389.67399032865393</v>
      </c>
      <c r="P120" s="37">
        <f t="shared" si="67"/>
        <v>406.27484727965691</v>
      </c>
      <c r="Q120" s="37">
        <f t="shared" si="67"/>
        <v>418.98359214394054</v>
      </c>
    </row>
    <row r="121" spans="2:17" x14ac:dyDescent="0.2">
      <c r="B121" s="2" t="s">
        <v>153</v>
      </c>
      <c r="C121" s="37">
        <f>SUM(C72:C77)</f>
        <v>2796.7000000000003</v>
      </c>
      <c r="D121" s="37">
        <f t="shared" ref="D121:Q121" si="68">SUM(D72:D77)</f>
        <v>3067.1</v>
      </c>
      <c r="E121" s="37">
        <f t="shared" si="68"/>
        <v>2978.1</v>
      </c>
      <c r="F121" s="37">
        <f t="shared" si="68"/>
        <v>3056.6</v>
      </c>
      <c r="G121" s="37">
        <f t="shared" si="68"/>
        <v>3058.4</v>
      </c>
      <c r="H121" s="37">
        <f t="shared" si="68"/>
        <v>3279.3335873860324</v>
      </c>
      <c r="I121" s="37">
        <f t="shared" si="68"/>
        <v>3242.7681107266835</v>
      </c>
      <c r="J121" s="37">
        <f t="shared" si="68"/>
        <v>3211.2390232347957</v>
      </c>
      <c r="K121" s="37">
        <f t="shared" si="68"/>
        <v>3384.0115149487619</v>
      </c>
      <c r="L121" s="37">
        <f t="shared" si="68"/>
        <v>3358.4149535802844</v>
      </c>
      <c r="M121" s="37">
        <f t="shared" si="68"/>
        <v>3334.7511893803985</v>
      </c>
      <c r="N121" s="37">
        <f t="shared" si="68"/>
        <v>3562.4421361800196</v>
      </c>
      <c r="O121" s="37">
        <f t="shared" si="68"/>
        <v>3537.3561855531525</v>
      </c>
      <c r="P121" s="37">
        <f t="shared" si="68"/>
        <v>3713.6316115843606</v>
      </c>
      <c r="Q121" s="37">
        <f t="shared" si="68"/>
        <v>3689.0134603878914</v>
      </c>
    </row>
    <row r="122" spans="2:17" x14ac:dyDescent="0.2"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</row>
    <row r="123" spans="2:17" x14ac:dyDescent="0.2">
      <c r="B123" s="1" t="s">
        <v>143</v>
      </c>
      <c r="C123" s="37">
        <f>C113-C118</f>
        <v>-22.5</v>
      </c>
      <c r="D123" s="37">
        <f t="shared" ref="D123:Q123" si="69">D113-D118</f>
        <v>-89.699999999999818</v>
      </c>
      <c r="E123" s="37">
        <f t="shared" si="69"/>
        <v>-85</v>
      </c>
      <c r="F123" s="37">
        <f t="shared" si="69"/>
        <v>-60.199999999999818</v>
      </c>
      <c r="G123" s="37">
        <f t="shared" si="69"/>
        <v>-39.900000000000546</v>
      </c>
      <c r="H123" s="37">
        <f t="shared" si="69"/>
        <v>-59.459999999999127</v>
      </c>
      <c r="I123" s="37">
        <f t="shared" si="69"/>
        <v>-59.460000000000036</v>
      </c>
      <c r="J123" s="37">
        <f t="shared" si="69"/>
        <v>-59.460000000000946</v>
      </c>
      <c r="K123" s="37">
        <f t="shared" si="69"/>
        <v>-59.460000000000036</v>
      </c>
      <c r="L123" s="37">
        <f t="shared" si="69"/>
        <v>-59.460000000000036</v>
      </c>
      <c r="M123" s="37">
        <f t="shared" si="69"/>
        <v>-59.460000000000946</v>
      </c>
      <c r="N123" s="37">
        <f t="shared" si="69"/>
        <v>-59.460000000000036</v>
      </c>
      <c r="O123" s="37">
        <f t="shared" si="69"/>
        <v>-59.460000000000036</v>
      </c>
      <c r="P123" s="37">
        <f t="shared" si="69"/>
        <v>-59.460000000000946</v>
      </c>
      <c r="Q123" s="37">
        <f t="shared" si="69"/>
        <v>-59.460000000000036</v>
      </c>
    </row>
    <row r="124" spans="2:17" x14ac:dyDescent="0.2"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</row>
    <row r="125" spans="2:17" x14ac:dyDescent="0.2">
      <c r="B125" s="1" t="s">
        <v>154</v>
      </c>
      <c r="C125" s="37">
        <f t="shared" ref="C125:Q125" si="70">C118-C64</f>
        <v>3151.2</v>
      </c>
      <c r="D125" s="37">
        <f t="shared" si="70"/>
        <v>3657.2999999999997</v>
      </c>
      <c r="E125" s="37">
        <f t="shared" si="70"/>
        <v>3713.3999999999996</v>
      </c>
      <c r="F125" s="37">
        <f t="shared" si="70"/>
        <v>3746.9</v>
      </c>
      <c r="G125" s="37">
        <f t="shared" si="70"/>
        <v>3921.2000000000003</v>
      </c>
      <c r="H125" s="37">
        <f t="shared" si="70"/>
        <v>4161.2124917572846</v>
      </c>
      <c r="I125" s="37">
        <f t="shared" si="70"/>
        <v>4198.6206875950384</v>
      </c>
      <c r="J125" s="37">
        <f t="shared" si="70"/>
        <v>4238.4070231860787</v>
      </c>
      <c r="K125" s="37">
        <f t="shared" si="70"/>
        <v>4505.3190268287935</v>
      </c>
      <c r="L125" s="37">
        <f t="shared" si="70"/>
        <v>4546.5370050348165</v>
      </c>
      <c r="M125" s="37">
        <f t="shared" si="70"/>
        <v>4585.051291613142</v>
      </c>
      <c r="N125" s="37">
        <f t="shared" si="70"/>
        <v>4908.6615982795411</v>
      </c>
      <c r="O125" s="37">
        <f t="shared" si="70"/>
        <v>4940.7785643789566</v>
      </c>
      <c r="P125" s="37">
        <f t="shared" si="70"/>
        <v>5203.2871402622704</v>
      </c>
      <c r="Q125" s="37">
        <f t="shared" si="70"/>
        <v>5244.4399813891841</v>
      </c>
    </row>
    <row r="126" spans="2:17" x14ac:dyDescent="0.2">
      <c r="B126" s="1" t="s">
        <v>155</v>
      </c>
      <c r="C126" s="37"/>
      <c r="D126" s="37">
        <f>D125-C125</f>
        <v>506.09999999999991</v>
      </c>
      <c r="E126" s="37">
        <f t="shared" ref="E126:Q126" si="71">E125-D125</f>
        <v>56.099999999999909</v>
      </c>
      <c r="F126" s="37">
        <f t="shared" si="71"/>
        <v>33.500000000000455</v>
      </c>
      <c r="G126" s="37">
        <f t="shared" si="71"/>
        <v>174.30000000000018</v>
      </c>
      <c r="H126" s="37">
        <f t="shared" si="71"/>
        <v>240.01249175728435</v>
      </c>
      <c r="I126" s="37">
        <f t="shared" si="71"/>
        <v>37.408195837753738</v>
      </c>
      <c r="J126" s="37">
        <f t="shared" si="71"/>
        <v>39.78633559104037</v>
      </c>
      <c r="K126" s="37">
        <f t="shared" si="71"/>
        <v>266.91200364271481</v>
      </c>
      <c r="L126" s="37">
        <f t="shared" si="71"/>
        <v>41.217978206022963</v>
      </c>
      <c r="M126" s="37">
        <f t="shared" si="71"/>
        <v>38.514286578325482</v>
      </c>
      <c r="N126" s="37">
        <f t="shared" si="71"/>
        <v>323.61030666639908</v>
      </c>
      <c r="O126" s="37">
        <f t="shared" si="71"/>
        <v>32.116966099415549</v>
      </c>
      <c r="P126" s="37">
        <f t="shared" si="71"/>
        <v>262.50857588331382</v>
      </c>
      <c r="Q126" s="37">
        <f t="shared" si="71"/>
        <v>41.1528411269137</v>
      </c>
    </row>
    <row r="127" spans="2:17" x14ac:dyDescent="0.2"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</row>
    <row r="128" spans="2:17" x14ac:dyDescent="0.2">
      <c r="B128" s="1" t="s">
        <v>156</v>
      </c>
      <c r="C128" s="37"/>
      <c r="D128" s="245">
        <f t="shared" ref="D128:Q128" si="72">D9/AVERAGE(C67:D67)</f>
        <v>6.4629522311449623</v>
      </c>
      <c r="E128" s="245">
        <f t="shared" si="72"/>
        <v>6.125052010439914</v>
      </c>
      <c r="F128" s="245">
        <f t="shared" si="72"/>
        <v>6.0815539631152022</v>
      </c>
      <c r="G128" s="245">
        <f t="shared" si="72"/>
        <v>6.1262958811992156</v>
      </c>
      <c r="H128" s="151">
        <f t="shared" si="72"/>
        <v>6.1844789482643394</v>
      </c>
      <c r="I128" s="151">
        <f t="shared" si="72"/>
        <v>6.2052638692666777</v>
      </c>
      <c r="J128" s="151">
        <f t="shared" si="72"/>
        <v>6.1932855596447896</v>
      </c>
      <c r="K128" s="151">
        <f t="shared" si="72"/>
        <v>6.2301009274497421</v>
      </c>
      <c r="L128" s="151">
        <f t="shared" si="72"/>
        <v>6.1746334913833651</v>
      </c>
      <c r="M128" s="151">
        <f t="shared" si="72"/>
        <v>6.163623094284743</v>
      </c>
      <c r="N128" s="151">
        <f t="shared" si="72"/>
        <v>6.2120947127653778</v>
      </c>
      <c r="O128" s="151">
        <f t="shared" si="72"/>
        <v>6.1478746004795246</v>
      </c>
      <c r="P128" s="151">
        <f t="shared" si="72"/>
        <v>6.1870102332044166</v>
      </c>
      <c r="Q128" s="151">
        <f t="shared" si="72"/>
        <v>6.1539376673703252</v>
      </c>
    </row>
    <row r="129" spans="1:17" x14ac:dyDescent="0.2">
      <c r="B129" s="1" t="s">
        <v>157</v>
      </c>
      <c r="C129" s="37"/>
      <c r="D129" s="37">
        <f>(D67+D65)*365/D9</f>
        <v>59.786014398073419</v>
      </c>
      <c r="E129" s="37">
        <f>(E67+E65)*365/E9</f>
        <v>67.81199051430265</v>
      </c>
      <c r="F129" s="37">
        <f>(F67+F65)*365/F9</f>
        <v>67.512381271383092</v>
      </c>
      <c r="G129" s="37">
        <f>(G67+G65)*365/G9</f>
        <v>69.478498496438334</v>
      </c>
      <c r="H129" s="37">
        <f t="shared" ref="H129:Q129" si="73">365/H128</f>
        <v>59.018714923823367</v>
      </c>
      <c r="I129" s="37">
        <f t="shared" si="73"/>
        <v>58.821028031985172</v>
      </c>
      <c r="J129" s="37">
        <f t="shared" si="73"/>
        <v>58.934792604805104</v>
      </c>
      <c r="K129" s="37">
        <f t="shared" si="73"/>
        <v>58.586530820361972</v>
      </c>
      <c r="L129" s="37">
        <f t="shared" si="73"/>
        <v>59.112820300889695</v>
      </c>
      <c r="M129" s="37">
        <f t="shared" si="73"/>
        <v>59.218416573597509</v>
      </c>
      <c r="N129" s="37">
        <f t="shared" si="73"/>
        <v>58.756348200865808</v>
      </c>
      <c r="O129" s="37">
        <f t="shared" si="73"/>
        <v>59.37011141566397</v>
      </c>
      <c r="P129" s="37">
        <f t="shared" si="73"/>
        <v>58.994568659531183</v>
      </c>
      <c r="Q129" s="37">
        <f t="shared" si="73"/>
        <v>59.311617980032331</v>
      </c>
    </row>
    <row r="130" spans="1:17" x14ac:dyDescent="0.2">
      <c r="B130" s="1" t="s">
        <v>158</v>
      </c>
      <c r="C130" s="37"/>
      <c r="D130" s="151">
        <f t="shared" ref="D130:Q130" si="74">D10/AVERAGE(C83:D83)</f>
        <v>23.705405852206979</v>
      </c>
      <c r="E130" s="151">
        <f t="shared" si="74"/>
        <v>24.263586072242106</v>
      </c>
      <c r="F130" s="151">
        <f t="shared" si="74"/>
        <v>24.710619185113892</v>
      </c>
      <c r="G130" s="151">
        <f t="shared" si="74"/>
        <v>22.214197105444519</v>
      </c>
      <c r="H130" s="151">
        <f t="shared" si="74"/>
        <v>21.721960558833011</v>
      </c>
      <c r="I130" s="151">
        <f t="shared" si="74"/>
        <v>22.635431213980794</v>
      </c>
      <c r="J130" s="151">
        <f t="shared" si="74"/>
        <v>22.571520426698747</v>
      </c>
      <c r="K130" s="151">
        <f t="shared" si="74"/>
        <v>22.731439554866309</v>
      </c>
      <c r="L130" s="151">
        <f t="shared" si="74"/>
        <v>22.501740297495189</v>
      </c>
      <c r="M130" s="151">
        <f t="shared" si="74"/>
        <v>22.463309914744599</v>
      </c>
      <c r="N130" s="151">
        <f t="shared" si="74"/>
        <v>22.632318700897603</v>
      </c>
      <c r="O130" s="151">
        <f t="shared" si="74"/>
        <v>22.401306425847483</v>
      </c>
      <c r="P130" s="151">
        <f t="shared" si="74"/>
        <v>22.538532719859692</v>
      </c>
      <c r="Q130" s="151">
        <f t="shared" si="74"/>
        <v>22.419706738475547</v>
      </c>
    </row>
    <row r="131" spans="1:17" x14ac:dyDescent="0.2">
      <c r="B131" s="1" t="s">
        <v>159</v>
      </c>
      <c r="C131" s="37"/>
      <c r="D131" s="37">
        <f>365/D130</f>
        <v>15.397331826994154</v>
      </c>
      <c r="E131" s="37">
        <f t="shared" ref="E131" si="75">365/E130</f>
        <v>15.043118478581585</v>
      </c>
      <c r="F131" s="37">
        <f t="shared" ref="F131" si="76">365/F130</f>
        <v>14.770977500227206</v>
      </c>
      <c r="G131" s="37">
        <f t="shared" ref="G131" si="77">365/G130</f>
        <v>16.430933707279543</v>
      </c>
      <c r="H131" s="37">
        <f t="shared" ref="H131" si="78">365/H130</f>
        <v>16.803271463982863</v>
      </c>
      <c r="I131" s="37">
        <f t="shared" ref="I131" si="79">365/I130</f>
        <v>16.125162209172203</v>
      </c>
      <c r="J131" s="37">
        <f t="shared" ref="J131" si="80">365/J130</f>
        <v>16.170820268193335</v>
      </c>
      <c r="K131" s="37">
        <f t="shared" ref="K131" si="81">365/K130</f>
        <v>16.057056092686459</v>
      </c>
      <c r="L131" s="37">
        <f t="shared" ref="L131" si="82">365/L130</f>
        <v>16.220967586255114</v>
      </c>
      <c r="M131" s="37">
        <f t="shared" ref="M131" si="83">365/M130</f>
        <v>16.248718527469507</v>
      </c>
      <c r="N131" s="37">
        <f t="shared" ref="N131" si="84">365/N130</f>
        <v>16.127379824565832</v>
      </c>
      <c r="O131" s="37">
        <f t="shared" ref="O131" si="85">365/O130</f>
        <v>16.29369256691427</v>
      </c>
      <c r="P131" s="37">
        <f t="shared" ref="P131" si="86">365/P130</f>
        <v>16.194488103406236</v>
      </c>
      <c r="Q131" s="37">
        <f t="shared" ref="Q131" si="87">365/Q130</f>
        <v>16.280319999619163</v>
      </c>
    </row>
    <row r="132" spans="1:17" x14ac:dyDescent="0.2">
      <c r="A132" s="76" t="s">
        <v>294</v>
      </c>
      <c r="B132" s="21" t="s">
        <v>160</v>
      </c>
      <c r="C132" s="38"/>
      <c r="D132" s="38">
        <f>D129-D131</f>
        <v>44.388682571079265</v>
      </c>
      <c r="E132" s="38">
        <f t="shared" ref="E132:Q132" si="88">E129-E131</f>
        <v>52.768872035721067</v>
      </c>
      <c r="F132" s="38">
        <f t="shared" si="88"/>
        <v>52.741403771155888</v>
      </c>
      <c r="G132" s="38">
        <f t="shared" si="88"/>
        <v>53.047564789158791</v>
      </c>
      <c r="H132" s="38">
        <f t="shared" si="88"/>
        <v>42.2154434598405</v>
      </c>
      <c r="I132" s="38">
        <f t="shared" si="88"/>
        <v>42.695865822812969</v>
      </c>
      <c r="J132" s="38">
        <f t="shared" si="88"/>
        <v>42.763972336611772</v>
      </c>
      <c r="K132" s="38">
        <f t="shared" si="88"/>
        <v>42.529474727675513</v>
      </c>
      <c r="L132" s="38">
        <f t="shared" si="88"/>
        <v>42.891852714634581</v>
      </c>
      <c r="M132" s="38">
        <f t="shared" si="88"/>
        <v>42.969698046128002</v>
      </c>
      <c r="N132" s="38">
        <f t="shared" si="88"/>
        <v>42.62896837629998</v>
      </c>
      <c r="O132" s="38">
        <f t="shared" si="88"/>
        <v>43.076418848749697</v>
      </c>
      <c r="P132" s="38">
        <f t="shared" si="88"/>
        <v>42.800080556124946</v>
      </c>
      <c r="Q132" s="38">
        <f t="shared" si="88"/>
        <v>43.031297980413171</v>
      </c>
    </row>
    <row r="134" spans="1:17" x14ac:dyDescent="0.2">
      <c r="B134" s="29" t="s">
        <v>161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1:17" x14ac:dyDescent="0.2">
      <c r="B135" s="1" t="s">
        <v>162</v>
      </c>
      <c r="C135" s="37">
        <f>C142</f>
        <v>44.9</v>
      </c>
      <c r="D135" s="37">
        <f>D142</f>
        <v>40.299999999999997</v>
      </c>
      <c r="E135" s="37">
        <f t="shared" ref="E135:Q135" si="89">E142</f>
        <v>44.2</v>
      </c>
      <c r="F135" s="37">
        <f t="shared" si="89"/>
        <v>50.5</v>
      </c>
      <c r="G135" s="37">
        <f t="shared" si="89"/>
        <v>53.1</v>
      </c>
      <c r="H135" s="37">
        <f t="shared" si="89"/>
        <v>54.48</v>
      </c>
      <c r="I135" s="37">
        <f t="shared" si="89"/>
        <v>57.855736754364898</v>
      </c>
      <c r="J135" s="37">
        <f t="shared" si="89"/>
        <v>60.685134085411448</v>
      </c>
      <c r="K135" s="37">
        <f t="shared" si="89"/>
        <v>63.401656669126332</v>
      </c>
      <c r="L135" s="37">
        <f t="shared" si="89"/>
        <v>67.049951532812074</v>
      </c>
      <c r="M135" s="37">
        <f t="shared" si="89"/>
        <v>69.621357439623239</v>
      </c>
      <c r="N135" s="37">
        <f t="shared" si="89"/>
        <v>72.029105168342412</v>
      </c>
      <c r="O135" s="37">
        <f t="shared" si="89"/>
        <v>75.722242841523993</v>
      </c>
      <c r="P135" s="37">
        <f t="shared" si="89"/>
        <v>77.934798065730789</v>
      </c>
      <c r="Q135" s="37">
        <f t="shared" si="89"/>
        <v>81.254969455931388</v>
      </c>
    </row>
    <row r="136" spans="1:17" x14ac:dyDescent="0.2">
      <c r="B136" s="1" t="s">
        <v>115</v>
      </c>
      <c r="C136" s="37">
        <f t="shared" ref="C136:Q136" si="90">C71</f>
        <v>238.4</v>
      </c>
      <c r="D136" s="37">
        <f t="shared" si="90"/>
        <v>240.6</v>
      </c>
      <c r="E136" s="37">
        <f t="shared" si="90"/>
        <v>244.9</v>
      </c>
      <c r="F136" s="37">
        <f t="shared" si="90"/>
        <v>251.9</v>
      </c>
      <c r="G136" s="37">
        <f t="shared" si="90"/>
        <v>272.39999999999998</v>
      </c>
      <c r="H136" s="37">
        <f t="shared" si="90"/>
        <v>289.27868377182449</v>
      </c>
      <c r="I136" s="37">
        <f t="shared" si="90"/>
        <v>303.42567042705724</v>
      </c>
      <c r="J136" s="37">
        <f t="shared" si="90"/>
        <v>317.00828334563164</v>
      </c>
      <c r="K136" s="37">
        <f t="shared" si="90"/>
        <v>335.24975766406038</v>
      </c>
      <c r="L136" s="37">
        <f t="shared" si="90"/>
        <v>348.10678719811619</v>
      </c>
      <c r="M136" s="37">
        <f t="shared" si="90"/>
        <v>360.14552584171201</v>
      </c>
      <c r="N136" s="37">
        <f t="shared" si="90"/>
        <v>378.61121420761992</v>
      </c>
      <c r="O136" s="37">
        <f t="shared" si="90"/>
        <v>389.67399032865393</v>
      </c>
      <c r="P136" s="37">
        <f t="shared" si="90"/>
        <v>406.27484727965691</v>
      </c>
      <c r="Q136" s="37">
        <f t="shared" si="90"/>
        <v>418.98359214394054</v>
      </c>
    </row>
    <row r="137" spans="1:17" x14ac:dyDescent="0.2">
      <c r="B137" s="1" t="s">
        <v>163</v>
      </c>
      <c r="C137" s="37">
        <f t="shared" ref="C137:Q137" si="91">C72</f>
        <v>424.8</v>
      </c>
      <c r="D137" s="37">
        <f t="shared" si="91"/>
        <v>378.6</v>
      </c>
      <c r="E137" s="37">
        <f t="shared" si="91"/>
        <v>303</v>
      </c>
      <c r="F137" s="37">
        <f t="shared" si="91"/>
        <v>282.5</v>
      </c>
      <c r="G137" s="37">
        <f t="shared" si="91"/>
        <v>243.2</v>
      </c>
      <c r="H137" s="37">
        <f t="shared" si="91"/>
        <v>244.22</v>
      </c>
      <c r="I137" s="37">
        <f t="shared" si="91"/>
        <v>198.54</v>
      </c>
      <c r="J137" s="37">
        <f t="shared" si="91"/>
        <v>158.26</v>
      </c>
      <c r="K137" s="37">
        <f t="shared" si="91"/>
        <v>159.27999999999997</v>
      </c>
      <c r="L137" s="37">
        <f t="shared" si="91"/>
        <v>125.39999999999998</v>
      </c>
      <c r="M137" s="37">
        <f t="shared" si="91"/>
        <v>93.979999999999976</v>
      </c>
      <c r="N137" s="37">
        <f t="shared" si="91"/>
        <v>109.77399999999997</v>
      </c>
      <c r="O137" s="37">
        <f t="shared" si="91"/>
        <v>77.560599999999965</v>
      </c>
      <c r="P137" s="37">
        <f t="shared" si="91"/>
        <v>83.140539999999959</v>
      </c>
      <c r="Q137" s="37">
        <f t="shared" si="91"/>
        <v>50.334485999999956</v>
      </c>
    </row>
    <row r="139" spans="1:17" x14ac:dyDescent="0.2">
      <c r="B139" s="31" t="s">
        <v>164</v>
      </c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</row>
    <row r="140" spans="1:17" x14ac:dyDescent="0.2">
      <c r="B140" s="47" t="s">
        <v>165</v>
      </c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</row>
    <row r="141" spans="1:17" x14ac:dyDescent="0.2">
      <c r="B141" s="1" t="s">
        <v>85</v>
      </c>
      <c r="C141" s="37">
        <f t="shared" ref="C141:Q141" si="92">C28</f>
        <v>129.79999999999995</v>
      </c>
      <c r="D141" s="37">
        <f t="shared" si="92"/>
        <v>234.09999999999988</v>
      </c>
      <c r="E141" s="37">
        <f t="shared" si="92"/>
        <v>251.2000000000001</v>
      </c>
      <c r="F141" s="37">
        <f t="shared" si="92"/>
        <v>82.3</v>
      </c>
      <c r="G141" s="37">
        <f t="shared" si="92"/>
        <v>162.50000000000006</v>
      </c>
      <c r="H141" s="37">
        <f t="shared" si="92"/>
        <v>171.22819125000012</v>
      </c>
      <c r="I141" s="37">
        <f t="shared" si="92"/>
        <v>204.66255700324234</v>
      </c>
      <c r="J141" s="37">
        <f t="shared" si="92"/>
        <v>248.08322666962022</v>
      </c>
      <c r="K141" s="37">
        <f t="shared" si="92"/>
        <v>270.32336066339974</v>
      </c>
      <c r="L141" s="37">
        <f t="shared" si="92"/>
        <v>294.97506419054321</v>
      </c>
      <c r="M141" s="37">
        <f t="shared" si="92"/>
        <v>315.96799655618929</v>
      </c>
      <c r="N141" s="37">
        <f t="shared" si="92"/>
        <v>344.52131506277487</v>
      </c>
      <c r="O141" s="37">
        <f t="shared" si="92"/>
        <v>357.66404245819365</v>
      </c>
      <c r="P141" s="37">
        <f t="shared" si="92"/>
        <v>386.85132111281297</v>
      </c>
      <c r="Q141" s="37">
        <f t="shared" si="92"/>
        <v>404.16404166000996</v>
      </c>
    </row>
    <row r="142" spans="1:17" x14ac:dyDescent="0.2">
      <c r="B142" s="2" t="s">
        <v>166</v>
      </c>
      <c r="C142" s="36">
        <v>44.9</v>
      </c>
      <c r="D142" s="36">
        <v>40.299999999999997</v>
      </c>
      <c r="E142" s="36">
        <v>44.2</v>
      </c>
      <c r="F142" s="36">
        <v>50.5</v>
      </c>
      <c r="G142" s="36">
        <v>53.1</v>
      </c>
      <c r="H142" s="51">
        <f>G71*Input!K40</f>
        <v>54.48</v>
      </c>
      <c r="I142" s="51">
        <f>H71*Input!L40</f>
        <v>57.855736754364898</v>
      </c>
      <c r="J142" s="51">
        <f>I71*Input!M40</f>
        <v>60.685134085411448</v>
      </c>
      <c r="K142" s="51">
        <f>J71*Input!N40</f>
        <v>63.401656669126332</v>
      </c>
      <c r="L142" s="51">
        <f>K71*Input!O40</f>
        <v>67.049951532812074</v>
      </c>
      <c r="M142" s="51">
        <f>L71*Input!P40</f>
        <v>69.621357439623239</v>
      </c>
      <c r="N142" s="51">
        <f>M71*Input!Q40</f>
        <v>72.029105168342412</v>
      </c>
      <c r="O142" s="51">
        <f>N71*Input!R40</f>
        <v>75.722242841523993</v>
      </c>
      <c r="P142" s="51">
        <f>O71*Input!S40</f>
        <v>77.934798065730789</v>
      </c>
      <c r="Q142" s="51">
        <f>P71*Input!T40</f>
        <v>81.254969455931388</v>
      </c>
    </row>
    <row r="143" spans="1:17" x14ac:dyDescent="0.2">
      <c r="B143" s="2" t="s">
        <v>167</v>
      </c>
      <c r="C143" s="51">
        <f>C144-C142</f>
        <v>45.000000000000007</v>
      </c>
      <c r="D143" s="51">
        <f t="shared" ref="D143:G143" si="93">D144-D142</f>
        <v>72.100000000000009</v>
      </c>
      <c r="E143" s="51">
        <f t="shared" si="93"/>
        <v>76.5</v>
      </c>
      <c r="F143" s="51">
        <f t="shared" si="93"/>
        <v>56.099999999999994</v>
      </c>
      <c r="G143" s="51">
        <f t="shared" si="93"/>
        <v>52.499999999999993</v>
      </c>
      <c r="H143" s="37">
        <f>-H15</f>
        <v>51.78</v>
      </c>
      <c r="I143" s="37">
        <f t="shared" ref="I143:Q143" si="94">-I15</f>
        <v>45.68</v>
      </c>
      <c r="J143" s="37">
        <f t="shared" si="94"/>
        <v>40.28</v>
      </c>
      <c r="K143" s="37">
        <f t="shared" si="94"/>
        <v>38.980000000000004</v>
      </c>
      <c r="L143" s="37">
        <f t="shared" si="94"/>
        <v>33.880000000000003</v>
      </c>
      <c r="M143" s="37">
        <f t="shared" si="94"/>
        <v>31.42</v>
      </c>
      <c r="N143" s="37">
        <f t="shared" si="94"/>
        <v>34.206000000000003</v>
      </c>
      <c r="O143" s="37">
        <f t="shared" si="94"/>
        <v>32.213400000000007</v>
      </c>
      <c r="P143" s="37">
        <f t="shared" si="94"/>
        <v>34.420060000000007</v>
      </c>
      <c r="Q143" s="37">
        <f t="shared" si="94"/>
        <v>32.806054000000003</v>
      </c>
    </row>
    <row r="144" spans="1:17" x14ac:dyDescent="0.2">
      <c r="B144" s="1" t="s">
        <v>168</v>
      </c>
      <c r="C144" s="36">
        <v>89.9</v>
      </c>
      <c r="D144" s="36">
        <v>112.4</v>
      </c>
      <c r="E144" s="36">
        <v>120.7</v>
      </c>
      <c r="F144" s="36">
        <v>106.6</v>
      </c>
      <c r="G144" s="36">
        <v>105.6</v>
      </c>
      <c r="H144" s="37">
        <f>SUM(H142:H143)</f>
        <v>106.25999999999999</v>
      </c>
      <c r="I144" s="37">
        <f t="shared" ref="I144:Q144" si="95">SUM(I142:I143)</f>
        <v>103.5357367543649</v>
      </c>
      <c r="J144" s="37">
        <f t="shared" si="95"/>
        <v>100.96513408541145</v>
      </c>
      <c r="K144" s="37">
        <f t="shared" si="95"/>
        <v>102.38165666912633</v>
      </c>
      <c r="L144" s="37">
        <f t="shared" si="95"/>
        <v>100.92995153281208</v>
      </c>
      <c r="M144" s="37">
        <f t="shared" si="95"/>
        <v>101.04135743962324</v>
      </c>
      <c r="N144" s="37">
        <f t="shared" si="95"/>
        <v>106.23510516834241</v>
      </c>
      <c r="O144" s="37">
        <f t="shared" si="95"/>
        <v>107.935642841524</v>
      </c>
      <c r="P144" s="37">
        <f t="shared" si="95"/>
        <v>112.3548580657308</v>
      </c>
      <c r="Q144" s="37">
        <f t="shared" si="95"/>
        <v>114.06102345593139</v>
      </c>
    </row>
    <row r="145" spans="2:17" x14ac:dyDescent="0.2">
      <c r="B145" s="1" t="s">
        <v>169</v>
      </c>
      <c r="C145" s="36">
        <v>-58.2</v>
      </c>
      <c r="D145" s="36">
        <v>-23.5</v>
      </c>
      <c r="E145" s="36">
        <v>20.100000000000001</v>
      </c>
      <c r="F145" s="36">
        <v>129.4</v>
      </c>
      <c r="G145" s="36">
        <v>8.5</v>
      </c>
      <c r="H145" s="37">
        <f t="shared" ref="H145:Q145" si="96">-H38</f>
        <v>32.5073735</v>
      </c>
      <c r="I145" s="37">
        <f t="shared" si="96"/>
        <v>34.097125544999997</v>
      </c>
      <c r="J145" s="37">
        <f t="shared" si="96"/>
        <v>35.623456712900001</v>
      </c>
      <c r="K145" s="37">
        <f t="shared" si="96"/>
        <v>37.673322299704004</v>
      </c>
      <c r="L145" s="37">
        <f t="shared" si="96"/>
        <v>39.118116833869372</v>
      </c>
      <c r="M145" s="37">
        <f t="shared" si="96"/>
        <v>40.470956830420711</v>
      </c>
      <c r="N145" s="37">
        <f t="shared" si="96"/>
        <v>42.54601822387842</v>
      </c>
      <c r="O145" s="37">
        <f t="shared" si="96"/>
        <v>43.789185506805474</v>
      </c>
      <c r="P145" s="37">
        <f t="shared" si="96"/>
        <v>45.654688523792331</v>
      </c>
      <c r="Q145" s="37">
        <f t="shared" si="96"/>
        <v>47.082819731501154</v>
      </c>
    </row>
    <row r="146" spans="2:17" x14ac:dyDescent="0.2"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</row>
    <row r="147" spans="2:17" x14ac:dyDescent="0.2">
      <c r="B147" s="7" t="s">
        <v>170</v>
      </c>
      <c r="C147" s="35">
        <f t="shared" ref="C147:Q147" si="97">C148+C149+C150+C151</f>
        <v>156.30000000000001</v>
      </c>
      <c r="D147" s="35">
        <f t="shared" si="97"/>
        <v>-272.79999999999995</v>
      </c>
      <c r="E147" s="35">
        <f t="shared" si="97"/>
        <v>-304.39999999999998</v>
      </c>
      <c r="F147" s="35">
        <f t="shared" si="97"/>
        <v>-88.40000000000002</v>
      </c>
      <c r="G147" s="35">
        <f t="shared" si="97"/>
        <v>3.2000000000000028</v>
      </c>
      <c r="H147" s="35">
        <f t="shared" si="97"/>
        <v>-20.50022059942782</v>
      </c>
      <c r="I147" s="35">
        <f t="shared" si="97"/>
        <v>-68.910983241870383</v>
      </c>
      <c r="J147" s="35">
        <f t="shared" si="97"/>
        <v>-66.454702552352643</v>
      </c>
      <c r="K147" s="35">
        <f t="shared" si="97"/>
        <v>-77.611555249200507</v>
      </c>
      <c r="L147" s="35">
        <f t="shared" si="97"/>
        <v>-62.213478807103513</v>
      </c>
      <c r="M147" s="35">
        <f t="shared" si="97"/>
        <v>-57.869826400623481</v>
      </c>
      <c r="N147" s="35">
        <f t="shared" si="97"/>
        <v>-76.811165177771159</v>
      </c>
      <c r="O147" s="35">
        <f t="shared" si="97"/>
        <v>-53.243953650546246</v>
      </c>
      <c r="P147" s="35">
        <f t="shared" si="97"/>
        <v>-70.292310141027542</v>
      </c>
      <c r="Q147" s="35">
        <f t="shared" si="97"/>
        <v>-61.222997217435875</v>
      </c>
    </row>
    <row r="148" spans="2:17" x14ac:dyDescent="0.2">
      <c r="B148" s="48" t="s">
        <v>171</v>
      </c>
      <c r="C148" s="36">
        <v>-124.5</v>
      </c>
      <c r="D148" s="36">
        <v>-143.80000000000001</v>
      </c>
      <c r="E148" s="36">
        <v>-152.69999999999999</v>
      </c>
      <c r="F148" s="36">
        <v>-32.6</v>
      </c>
      <c r="G148" s="36">
        <v>-109.8</v>
      </c>
      <c r="H148" s="37">
        <f t="shared" ref="H148:Q148" si="98">-(H67-G67)</f>
        <v>-61.390465000000177</v>
      </c>
      <c r="I148" s="37">
        <f t="shared" si="98"/>
        <v>-74.945453549999911</v>
      </c>
      <c r="J148" s="37">
        <f t="shared" si="98"/>
        <v>-71.955612201000122</v>
      </c>
      <c r="K148" s="37">
        <f t="shared" si="98"/>
        <v>-96.636520520760087</v>
      </c>
      <c r="L148" s="37">
        <f t="shared" si="98"/>
        <v>-68.111742324938632</v>
      </c>
      <c r="M148" s="37">
        <f t="shared" si="98"/>
        <v>-63.776742694563382</v>
      </c>
      <c r="N148" s="37">
        <f t="shared" si="98"/>
        <v>-97.824322834434724</v>
      </c>
      <c r="O148" s="37">
        <f t="shared" si="98"/>
        <v>-58.606457623704273</v>
      </c>
      <c r="P148" s="37">
        <f t="shared" si="98"/>
        <v>-87.945142229380053</v>
      </c>
      <c r="Q148" s="37">
        <f t="shared" si="98"/>
        <v>-67.326185506273305</v>
      </c>
    </row>
    <row r="149" spans="2:17" x14ac:dyDescent="0.2">
      <c r="B149" s="48" t="s">
        <v>325</v>
      </c>
      <c r="C149" s="36">
        <f>C65</f>
        <v>0</v>
      </c>
      <c r="D149" s="36">
        <f>D65</f>
        <v>0</v>
      </c>
      <c r="E149" s="243">
        <f t="shared" ref="E149:Q149" si="99">D65-E65</f>
        <v>-139.19999999999999</v>
      </c>
      <c r="F149" s="243">
        <f t="shared" si="99"/>
        <v>-22.900000000000006</v>
      </c>
      <c r="G149" s="243">
        <f t="shared" si="99"/>
        <v>-31.599999999999994</v>
      </c>
      <c r="H149" s="243">
        <f t="shared" si="99"/>
        <v>7.9435799999999972</v>
      </c>
      <c r="I149" s="243">
        <f t="shared" si="99"/>
        <v>-9.084297399999997</v>
      </c>
      <c r="J149" s="243">
        <f t="shared" si="99"/>
        <v>-8.7218923880000148</v>
      </c>
      <c r="K149" s="243">
        <f t="shared" si="99"/>
        <v>-11.713517638880006</v>
      </c>
      <c r="L149" s="243">
        <f t="shared" si="99"/>
        <v>-8.2559687666592367</v>
      </c>
      <c r="M149" s="243">
        <f t="shared" si="99"/>
        <v>-7.730514266007674</v>
      </c>
      <c r="N149" s="243">
        <f t="shared" si="99"/>
        <v>-11.857493676901186</v>
      </c>
      <c r="O149" s="243">
        <f t="shared" si="99"/>
        <v>-7.1038130452974713</v>
      </c>
      <c r="P149" s="243">
        <f t="shared" si="99"/>
        <v>-10.660017239924883</v>
      </c>
      <c r="Q149" s="243">
        <f t="shared" si="99"/>
        <v>-8.1607497583361237</v>
      </c>
    </row>
    <row r="150" spans="2:17" x14ac:dyDescent="0.2">
      <c r="B150" s="48" t="s">
        <v>172</v>
      </c>
      <c r="C150" s="36">
        <v>0</v>
      </c>
      <c r="D150" s="37">
        <f t="shared" ref="D150" si="100">D83-C83</f>
        <v>26.100000000000023</v>
      </c>
      <c r="E150" s="37">
        <f t="shared" ref="E150" si="101">E83-D83</f>
        <v>-16.399999999999977</v>
      </c>
      <c r="F150" s="37">
        <f t="shared" ref="F150" si="102">F83-E83</f>
        <v>25.199999999999989</v>
      </c>
      <c r="G150" s="37">
        <f t="shared" ref="G150" si="103">G83-F83</f>
        <v>76.899999999999977</v>
      </c>
      <c r="H150" s="37">
        <f t="shared" ref="H150:Q150" si="104">H83-G83</f>
        <v>-15.184786912499931</v>
      </c>
      <c r="I150" s="37">
        <f t="shared" si="104"/>
        <v>18.040556703124935</v>
      </c>
      <c r="J150" s="37">
        <f t="shared" si="104"/>
        <v>17.028030451427526</v>
      </c>
      <c r="K150" s="37">
        <f t="shared" si="104"/>
        <v>24.505909869619018</v>
      </c>
      <c r="L150" s="37">
        <f t="shared" si="104"/>
        <v>16.809605355553288</v>
      </c>
      <c r="M150" s="37">
        <f t="shared" si="104"/>
        <v>16.123801328486763</v>
      </c>
      <c r="N150" s="37">
        <f t="shared" si="104"/>
        <v>24.184385407638217</v>
      </c>
      <c r="O150" s="37">
        <f t="shared" si="104"/>
        <v>14.751121430325043</v>
      </c>
      <c r="P150" s="37">
        <f t="shared" si="104"/>
        <v>21.741438209358421</v>
      </c>
      <c r="Q150" s="37">
        <f t="shared" si="104"/>
        <v>16.888685761269471</v>
      </c>
    </row>
    <row r="151" spans="2:17" x14ac:dyDescent="0.2">
      <c r="B151" s="48" t="s">
        <v>173</v>
      </c>
      <c r="C151" s="36">
        <v>280.8</v>
      </c>
      <c r="D151" s="36">
        <v>-155.1</v>
      </c>
      <c r="E151" s="36">
        <v>3.9</v>
      </c>
      <c r="F151" s="36">
        <v>-58.1</v>
      </c>
      <c r="G151" s="36">
        <v>67.7</v>
      </c>
      <c r="H151" s="37">
        <f>(H84-G84+H85-G85+H86-G86+H87-G87+H88-G88)-(H68-G68)</f>
        <v>48.13145131307229</v>
      </c>
      <c r="I151" s="37">
        <f t="shared" ref="I151:Q151" si="105">(I84-H84+I85-H85+I86-H86+I87-H87+I88-H88)-(I65-H65+I68-H68)</f>
        <v>-2.9217889949954099</v>
      </c>
      <c r="J151" s="37">
        <f t="shared" si="105"/>
        <v>-2.8052284147800322</v>
      </c>
      <c r="K151" s="37">
        <f t="shared" si="105"/>
        <v>6.2325730408205686</v>
      </c>
      <c r="L151" s="37">
        <f t="shared" si="105"/>
        <v>-2.6553730710589321</v>
      </c>
      <c r="M151" s="37">
        <f t="shared" si="105"/>
        <v>-2.4863707685391887</v>
      </c>
      <c r="N151" s="37">
        <f t="shared" si="105"/>
        <v>8.6862659259265342</v>
      </c>
      <c r="O151" s="37">
        <f t="shared" si="105"/>
        <v>-2.2848044118695441</v>
      </c>
      <c r="P151" s="37">
        <f t="shared" si="105"/>
        <v>6.5714111189189737</v>
      </c>
      <c r="Q151" s="37">
        <f t="shared" si="105"/>
        <v>-2.6247477140959177</v>
      </c>
    </row>
    <row r="152" spans="2:17" x14ac:dyDescent="0.2">
      <c r="B152" s="21" t="s">
        <v>165</v>
      </c>
      <c r="C152" s="38">
        <f>C141+C144+C145+C147</f>
        <v>317.79999999999995</v>
      </c>
      <c r="D152" s="38">
        <f t="shared" ref="D152:Q152" si="106">D141+D144+D145+D147</f>
        <v>50.199999999999932</v>
      </c>
      <c r="E152" s="38">
        <f t="shared" si="106"/>
        <v>87.600000000000136</v>
      </c>
      <c r="F152" s="38">
        <f t="shared" si="106"/>
        <v>229.89999999999992</v>
      </c>
      <c r="G152" s="38">
        <f t="shared" si="106"/>
        <v>279.8</v>
      </c>
      <c r="H152" s="38">
        <f t="shared" si="106"/>
        <v>289.49534415057224</v>
      </c>
      <c r="I152" s="38">
        <f t="shared" si="106"/>
        <v>273.38443606073685</v>
      </c>
      <c r="J152" s="38">
        <f t="shared" si="106"/>
        <v>318.21711491557903</v>
      </c>
      <c r="K152" s="38">
        <f t="shared" si="106"/>
        <v>332.76678438302952</v>
      </c>
      <c r="L152" s="38">
        <f t="shared" si="106"/>
        <v>372.80965375012113</v>
      </c>
      <c r="M152" s="38">
        <f t="shared" si="106"/>
        <v>399.6104844256098</v>
      </c>
      <c r="N152" s="38">
        <f t="shared" si="106"/>
        <v>416.49127327722459</v>
      </c>
      <c r="O152" s="38">
        <f t="shared" si="106"/>
        <v>456.14491715597688</v>
      </c>
      <c r="P152" s="38">
        <f t="shared" si="106"/>
        <v>474.56855756130858</v>
      </c>
      <c r="Q152" s="38">
        <f t="shared" si="106"/>
        <v>504.08488763000656</v>
      </c>
    </row>
    <row r="153" spans="2:17" x14ac:dyDescent="0.2"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</row>
    <row r="154" spans="2:17" x14ac:dyDescent="0.2">
      <c r="B154" s="47" t="s">
        <v>58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</row>
    <row r="155" spans="2:17" x14ac:dyDescent="0.2">
      <c r="B155" s="2" t="s">
        <v>174</v>
      </c>
      <c r="C155" s="36">
        <v>-34.299999999999997</v>
      </c>
      <c r="D155" s="36">
        <v>-50.8</v>
      </c>
      <c r="E155" s="36">
        <v>-52.6</v>
      </c>
      <c r="F155" s="36">
        <v>-59.4</v>
      </c>
      <c r="G155" s="36">
        <v>-79.3</v>
      </c>
      <c r="H155" s="51">
        <f>H9*Input!K39</f>
        <v>-65.014747</v>
      </c>
      <c r="I155" s="51">
        <f>I9*Input!L39</f>
        <v>-68.194251089999995</v>
      </c>
      <c r="J155" s="51">
        <f>J9*Input!M39</f>
        <v>-71.246913425800003</v>
      </c>
      <c r="K155" s="51">
        <f>K9*Input!N39</f>
        <v>-75.346644599408009</v>
      </c>
      <c r="L155" s="51">
        <f>L9*Input!O39</f>
        <v>-78.236233667738745</v>
      </c>
      <c r="M155" s="51">
        <f>M9*Input!P39</f>
        <v>-80.941913660841422</v>
      </c>
      <c r="N155" s="51">
        <f>N9*Input!Q39</f>
        <v>-85.09203644775684</v>
      </c>
      <c r="O155" s="51">
        <f>O9*Input!R39</f>
        <v>-87.578371013610948</v>
      </c>
      <c r="P155" s="51">
        <f>P9*Input!S39</f>
        <v>-91.309377047584661</v>
      </c>
      <c r="Q155" s="51">
        <f>Q9*Input!T39</f>
        <v>-94.165639463002307</v>
      </c>
    </row>
    <row r="156" spans="2:17" x14ac:dyDescent="0.2">
      <c r="B156" s="2" t="s">
        <v>175</v>
      </c>
      <c r="C156" s="36">
        <v>4.4000000000000004</v>
      </c>
      <c r="D156" s="36">
        <v>6</v>
      </c>
      <c r="E156" s="36">
        <v>2.9</v>
      </c>
      <c r="F156" s="36">
        <v>1.8</v>
      </c>
      <c r="G156" s="36">
        <v>0.4</v>
      </c>
      <c r="H156" s="37">
        <f>Input!K71</f>
        <v>0</v>
      </c>
      <c r="I156" s="37">
        <f>Input!L71</f>
        <v>0</v>
      </c>
      <c r="J156" s="37">
        <f>Input!M71</f>
        <v>0</v>
      </c>
      <c r="K156" s="37">
        <f>Input!N71</f>
        <v>0</v>
      </c>
      <c r="L156" s="37">
        <f>Input!O71</f>
        <v>0</v>
      </c>
      <c r="M156" s="37">
        <f>Input!P71</f>
        <v>0</v>
      </c>
      <c r="N156" s="37">
        <f>Input!Q71</f>
        <v>0</v>
      </c>
      <c r="O156" s="37">
        <f>Input!R71</f>
        <v>0</v>
      </c>
      <c r="P156" s="37">
        <f>Input!S71</f>
        <v>0</v>
      </c>
      <c r="Q156" s="37">
        <f>Input!T71</f>
        <v>0</v>
      </c>
    </row>
    <row r="157" spans="2:17" x14ac:dyDescent="0.2">
      <c r="B157" s="2" t="s">
        <v>176</v>
      </c>
      <c r="C157" s="36">
        <v>0</v>
      </c>
      <c r="D157" s="36">
        <v>-2.1</v>
      </c>
      <c r="E157" s="36">
        <v>-12.4</v>
      </c>
      <c r="F157" s="36">
        <v>0</v>
      </c>
      <c r="G157" s="36">
        <v>0</v>
      </c>
      <c r="H157" s="37">
        <f>Input!K73</f>
        <v>0</v>
      </c>
      <c r="I157" s="37">
        <f>Input!L73</f>
        <v>0</v>
      </c>
      <c r="J157" s="37">
        <f>Input!M73</f>
        <v>0</v>
      </c>
      <c r="K157" s="37">
        <f>Input!N73</f>
        <v>0</v>
      </c>
      <c r="L157" s="37">
        <f>Input!O73</f>
        <v>0</v>
      </c>
      <c r="M157" s="37">
        <f>Input!P73</f>
        <v>0</v>
      </c>
      <c r="N157" s="37">
        <f>Input!Q73</f>
        <v>0</v>
      </c>
      <c r="O157" s="37">
        <f>Input!R73</f>
        <v>0</v>
      </c>
      <c r="P157" s="37">
        <f>Input!S73</f>
        <v>0</v>
      </c>
      <c r="Q157" s="37">
        <f>Input!T73</f>
        <v>0</v>
      </c>
    </row>
    <row r="158" spans="2:17" x14ac:dyDescent="0.2">
      <c r="B158" s="2" t="s">
        <v>62</v>
      </c>
      <c r="C158" s="36">
        <v>0</v>
      </c>
      <c r="D158" s="36">
        <v>0</v>
      </c>
      <c r="E158" s="36">
        <v>0</v>
      </c>
      <c r="F158" s="36">
        <v>0</v>
      </c>
      <c r="G158" s="36">
        <v>0</v>
      </c>
      <c r="H158" s="37">
        <f>Input!K74</f>
        <v>0</v>
      </c>
      <c r="I158" s="37">
        <f>Input!L74</f>
        <v>0</v>
      </c>
      <c r="J158" s="37">
        <f>Input!M74</f>
        <v>0</v>
      </c>
      <c r="K158" s="37">
        <f>Input!N74</f>
        <v>0</v>
      </c>
      <c r="L158" s="37">
        <f>Input!O74</f>
        <v>0</v>
      </c>
      <c r="M158" s="37">
        <f>Input!P74</f>
        <v>0</v>
      </c>
      <c r="N158" s="37">
        <f>Input!Q74</f>
        <v>0</v>
      </c>
      <c r="O158" s="37">
        <f>Input!R74</f>
        <v>0</v>
      </c>
      <c r="P158" s="37">
        <f>Input!S74</f>
        <v>0</v>
      </c>
      <c r="Q158" s="37">
        <f>Input!T74</f>
        <v>0</v>
      </c>
    </row>
    <row r="159" spans="2:17" x14ac:dyDescent="0.2">
      <c r="B159" s="2" t="s">
        <v>295</v>
      </c>
      <c r="C159" s="36">
        <v>-710.1</v>
      </c>
      <c r="D159" s="36">
        <v>-194.6</v>
      </c>
      <c r="E159" s="36">
        <v>0</v>
      </c>
      <c r="F159" s="36">
        <v>-114.3</v>
      </c>
      <c r="G159" s="36">
        <v>-36.700000000000003</v>
      </c>
      <c r="H159" s="37">
        <f>Input!K72</f>
        <v>-264</v>
      </c>
      <c r="I159" s="37">
        <f>Input!L72</f>
        <v>0</v>
      </c>
      <c r="J159" s="37">
        <f>Input!M72</f>
        <v>0</v>
      </c>
      <c r="K159" s="37">
        <f>Input!N72</f>
        <v>-200</v>
      </c>
      <c r="L159" s="37">
        <f>Input!O72</f>
        <v>0</v>
      </c>
      <c r="M159" s="37">
        <f>Input!P72</f>
        <v>0</v>
      </c>
      <c r="N159" s="37">
        <f>Input!Q72</f>
        <v>-250</v>
      </c>
      <c r="O159" s="37">
        <f>Input!R72</f>
        <v>0</v>
      </c>
      <c r="P159" s="37">
        <f>Input!S72</f>
        <v>-200</v>
      </c>
      <c r="Q159" s="37">
        <f>Input!T72</f>
        <v>0</v>
      </c>
    </row>
    <row r="160" spans="2:17" x14ac:dyDescent="0.2">
      <c r="B160" s="2" t="s">
        <v>177</v>
      </c>
      <c r="C160" s="37">
        <f>C161-C155-C156-C157-C158-C159</f>
        <v>0</v>
      </c>
      <c r="D160" s="37">
        <f t="shared" ref="D160:G160" si="107">D161-D155-D156-D157-D158-D159</f>
        <v>0</v>
      </c>
      <c r="E160" s="37">
        <f t="shared" si="107"/>
        <v>0</v>
      </c>
      <c r="F160" s="37">
        <f t="shared" si="107"/>
        <v>0</v>
      </c>
      <c r="G160" s="37">
        <f t="shared" si="107"/>
        <v>0</v>
      </c>
      <c r="H160" s="37">
        <f>Input!K76</f>
        <v>0</v>
      </c>
      <c r="I160" s="37">
        <f>Input!L76</f>
        <v>0</v>
      </c>
      <c r="J160" s="37">
        <f>Input!M76</f>
        <v>0</v>
      </c>
      <c r="K160" s="37">
        <f>Input!N76</f>
        <v>0</v>
      </c>
      <c r="L160" s="37">
        <f>Input!O76</f>
        <v>0</v>
      </c>
      <c r="M160" s="37">
        <f>Input!P76</f>
        <v>0</v>
      </c>
      <c r="N160" s="37">
        <f>Input!Q76</f>
        <v>0</v>
      </c>
      <c r="O160" s="37">
        <f>Input!R76</f>
        <v>0</v>
      </c>
      <c r="P160" s="37">
        <f>Input!S76</f>
        <v>0</v>
      </c>
      <c r="Q160" s="37">
        <f>Input!T76</f>
        <v>0</v>
      </c>
    </row>
    <row r="161" spans="2:17" x14ac:dyDescent="0.2">
      <c r="B161" s="21" t="s">
        <v>58</v>
      </c>
      <c r="C161" s="146">
        <v>-740</v>
      </c>
      <c r="D161" s="146">
        <v>-241.5</v>
      </c>
      <c r="E161" s="146">
        <v>-62.1</v>
      </c>
      <c r="F161" s="146">
        <v>-171.9</v>
      </c>
      <c r="G161" s="146">
        <v>-115.6</v>
      </c>
      <c r="H161" s="38">
        <f t="shared" ref="H161:Q161" si="108">SUM(H155:H160)</f>
        <v>-329.014747</v>
      </c>
      <c r="I161" s="38">
        <f t="shared" si="108"/>
        <v>-68.194251089999995</v>
      </c>
      <c r="J161" s="38">
        <f t="shared" si="108"/>
        <v>-71.246913425800003</v>
      </c>
      <c r="K161" s="38">
        <f t="shared" si="108"/>
        <v>-275.34664459940802</v>
      </c>
      <c r="L161" s="38">
        <f t="shared" si="108"/>
        <v>-78.236233667738745</v>
      </c>
      <c r="M161" s="38">
        <f t="shared" si="108"/>
        <v>-80.941913660841422</v>
      </c>
      <c r="N161" s="38">
        <f t="shared" si="108"/>
        <v>-335.09203644775687</v>
      </c>
      <c r="O161" s="38">
        <f t="shared" si="108"/>
        <v>-87.578371013610948</v>
      </c>
      <c r="P161" s="38">
        <f t="shared" si="108"/>
        <v>-291.30937704758469</v>
      </c>
      <c r="Q161" s="38">
        <f t="shared" si="108"/>
        <v>-94.165639463002307</v>
      </c>
    </row>
    <row r="162" spans="2:17" x14ac:dyDescent="0.2">
      <c r="B162" s="7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</row>
    <row r="163" spans="2:17" x14ac:dyDescent="0.2">
      <c r="B163" s="47" t="s">
        <v>63</v>
      </c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</row>
    <row r="164" spans="2:17" x14ac:dyDescent="0.2">
      <c r="B164" s="1" t="s">
        <v>178</v>
      </c>
      <c r="C164" s="37">
        <f>Input!F86</f>
        <v>-63.6</v>
      </c>
      <c r="D164" s="37">
        <f>Input!G86</f>
        <v>-214.6</v>
      </c>
      <c r="E164" s="37">
        <f>Input!H86</f>
        <v>-67.099999999999994</v>
      </c>
      <c r="F164" s="37">
        <f>Input!I86</f>
        <v>-62.7</v>
      </c>
      <c r="G164" s="37">
        <f>Input!J86</f>
        <v>-61.5</v>
      </c>
      <c r="H164" s="37">
        <f>Input!K86</f>
        <v>-43.2</v>
      </c>
      <c r="I164" s="37">
        <f>Input!L86</f>
        <v>-43.2</v>
      </c>
      <c r="J164" s="37">
        <f>Input!M86</f>
        <v>-43.2</v>
      </c>
      <c r="K164" s="37">
        <f>Input!N86</f>
        <v>-53.2</v>
      </c>
      <c r="L164" s="37">
        <f>Input!O86</f>
        <v>-53.2</v>
      </c>
      <c r="M164" s="37">
        <f>Input!P86</f>
        <v>-53.2</v>
      </c>
      <c r="N164" s="37">
        <f>Input!Q86</f>
        <v>-65.7</v>
      </c>
      <c r="O164" s="37">
        <f>Input!R86</f>
        <v>-65.7</v>
      </c>
      <c r="P164" s="37">
        <f>Input!S86</f>
        <v>-75.7</v>
      </c>
      <c r="Q164" s="37">
        <f>Input!T86</f>
        <v>-75.7</v>
      </c>
    </row>
    <row r="165" spans="2:17" x14ac:dyDescent="0.2">
      <c r="B165" s="1" t="s">
        <v>335</v>
      </c>
      <c r="C165" s="243">
        <f>C91</f>
        <v>971.4</v>
      </c>
      <c r="D165" s="243">
        <f t="shared" ref="D165:G165" si="109">D91</f>
        <v>1197.2</v>
      </c>
      <c r="E165" s="243">
        <f t="shared" si="109"/>
        <v>1389.7</v>
      </c>
      <c r="F165" s="243">
        <f t="shared" si="109"/>
        <v>1409.2</v>
      </c>
      <c r="G165" s="243">
        <f t="shared" si="109"/>
        <v>1631.9</v>
      </c>
      <c r="H165" s="37">
        <f>Input!K87</f>
        <v>1629.3878602244279</v>
      </c>
      <c r="I165" s="37">
        <f>Input!L87</f>
        <v>1549.8964423546633</v>
      </c>
      <c r="J165" s="37">
        <f>Input!M87</f>
        <v>1474.5220315327329</v>
      </c>
      <c r="K165" s="37">
        <f>Input!N87</f>
        <v>1523.0528804813011</v>
      </c>
      <c r="L165" s="37">
        <f>Input!O87</f>
        <v>1397.3188937185816</v>
      </c>
      <c r="M165" s="37">
        <f>Input!P87</f>
        <v>1263.8036545378575</v>
      </c>
      <c r="N165" s="37">
        <f>Input!Q87</f>
        <v>1300.1589037653082</v>
      </c>
      <c r="O165" s="37">
        <f>Input!R87</f>
        <v>1105.9155015649901</v>
      </c>
      <c r="P165" s="37">
        <f>Input!S87</f>
        <v>1095.689943430044</v>
      </c>
      <c r="Q165" s="37">
        <f>Input!T87</f>
        <v>851.2999999999995</v>
      </c>
    </row>
    <row r="166" spans="2:17" x14ac:dyDescent="0.2">
      <c r="B166" s="21" t="s">
        <v>179</v>
      </c>
      <c r="C166" s="38"/>
      <c r="D166" s="38">
        <f>Input!G106-Input!F106-Model!D164</f>
        <v>446.6</v>
      </c>
      <c r="E166" s="38">
        <f>Input!H106-Input!G106-Model!E164</f>
        <v>260.10000000000002</v>
      </c>
      <c r="F166" s="38">
        <f>Input!I106-Input!H106-Model!F164</f>
        <v>83.7</v>
      </c>
      <c r="G166" s="38">
        <f>Input!J106-Input!I106-Model!G164</f>
        <v>295.5</v>
      </c>
      <c r="H166" s="38">
        <f>Input!K106-Input!J106-Model!H164</f>
        <v>146.7878602244279</v>
      </c>
      <c r="I166" s="38">
        <f>Input!L106-Input!K106-Model!I164</f>
        <v>-36.291417869764516</v>
      </c>
      <c r="J166" s="38">
        <f>Input!M106-Input!L106-Model!J164</f>
        <v>-32.174410821930493</v>
      </c>
      <c r="K166" s="38">
        <f>Input!N106-Input!M106-Model!K164</f>
        <v>111.73084894856829</v>
      </c>
      <c r="L166" s="38">
        <f>Input!O106-Input!N106-Model!L164</f>
        <v>-72.533986762719493</v>
      </c>
      <c r="M166" s="38">
        <f>Input!P106-Input!O106-Model!M164</f>
        <v>-80.315239180724163</v>
      </c>
      <c r="N166" s="38">
        <f>Input!Q106-Input!P106-Model!N164</f>
        <v>114.55524922745072</v>
      </c>
      <c r="O166" s="38">
        <f>Input!R106-Input!Q106-Model!O164</f>
        <v>-128.5434022003181</v>
      </c>
      <c r="P166" s="38">
        <f>Input!S106-Input!R106-Model!P164</f>
        <v>75.474441865053862</v>
      </c>
      <c r="Q166" s="38">
        <f>Input!T106-Input!S106-Model!Q164</f>
        <v>-168.68994343004448</v>
      </c>
    </row>
    <row r="167" spans="2:17" x14ac:dyDescent="0.2">
      <c r="B167" s="7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</row>
    <row r="168" spans="2:17" x14ac:dyDescent="0.2">
      <c r="B168" s="1" t="s">
        <v>68</v>
      </c>
      <c r="C168" s="36">
        <v>0</v>
      </c>
      <c r="D168" s="36">
        <v>0</v>
      </c>
      <c r="E168" s="36">
        <v>0</v>
      </c>
      <c r="F168" s="36">
        <v>0</v>
      </c>
      <c r="G168" s="36">
        <v>0</v>
      </c>
      <c r="H168" s="37">
        <f>Input!K82</f>
        <v>0</v>
      </c>
      <c r="I168" s="37">
        <f>Input!L82</f>
        <v>0</v>
      </c>
      <c r="J168" s="37">
        <f>Input!M82</f>
        <v>0</v>
      </c>
      <c r="K168" s="37">
        <f>Input!N82</f>
        <v>0</v>
      </c>
      <c r="L168" s="37">
        <f>Input!O82</f>
        <v>0</v>
      </c>
      <c r="M168" s="37">
        <f>Input!P82</f>
        <v>0</v>
      </c>
      <c r="N168" s="37">
        <f>Input!Q82</f>
        <v>0</v>
      </c>
      <c r="O168" s="37">
        <f>Input!R82</f>
        <v>0</v>
      </c>
      <c r="P168" s="37">
        <f>Input!S82</f>
        <v>0</v>
      </c>
      <c r="Q168" s="37">
        <f>Input!T82</f>
        <v>0</v>
      </c>
    </row>
    <row r="169" spans="2:17" x14ac:dyDescent="0.2">
      <c r="B169" s="1" t="s">
        <v>69</v>
      </c>
      <c r="C169" s="36">
        <v>0</v>
      </c>
      <c r="D169" s="36">
        <v>-97.5</v>
      </c>
      <c r="E169" s="36">
        <v>-138</v>
      </c>
      <c r="F169" s="36">
        <v>-56</v>
      </c>
      <c r="G169" s="36">
        <v>-122</v>
      </c>
      <c r="H169" s="37">
        <f>Input!K83</f>
        <v>-60</v>
      </c>
      <c r="I169" s="37">
        <f>Input!L83</f>
        <v>-107.5</v>
      </c>
      <c r="J169" s="37">
        <f>Input!M83</f>
        <v>-115.5625</v>
      </c>
      <c r="K169" s="37">
        <f>Input!N83</f>
        <v>-74.537812500000001</v>
      </c>
      <c r="L169" s="37">
        <f>Input!O83</f>
        <v>-133.54691406249998</v>
      </c>
      <c r="M169" s="37">
        <f>Input!P83</f>
        <v>-143.56293261718747</v>
      </c>
      <c r="N169" s="37">
        <f>Input!Q83</f>
        <v>-92.59809153808591</v>
      </c>
      <c r="O169" s="37">
        <f>Input!R83</f>
        <v>-132.7239312045898</v>
      </c>
      <c r="P169" s="37">
        <f>Input!S83</f>
        <v>-142.67822604493404</v>
      </c>
      <c r="Q169" s="37">
        <f>Input!T83</f>
        <v>-115.03431974872807</v>
      </c>
    </row>
    <row r="170" spans="2:17" x14ac:dyDescent="0.2">
      <c r="B170" s="1" t="s">
        <v>180</v>
      </c>
      <c r="C170" s="36">
        <v>0</v>
      </c>
      <c r="D170" s="36">
        <v>0</v>
      </c>
      <c r="E170" s="36">
        <v>0</v>
      </c>
      <c r="F170" s="36">
        <v>0</v>
      </c>
      <c r="G170" s="36">
        <v>0</v>
      </c>
      <c r="H170" s="37">
        <f>Input!K84</f>
        <v>0</v>
      </c>
      <c r="I170" s="37">
        <f>Input!L84</f>
        <v>0</v>
      </c>
      <c r="J170" s="37">
        <f>Input!M84</f>
        <v>0</v>
      </c>
      <c r="K170" s="37">
        <f>Input!N84</f>
        <v>0</v>
      </c>
      <c r="L170" s="37">
        <f>Input!O84</f>
        <v>0</v>
      </c>
      <c r="M170" s="37">
        <f>Input!P84</f>
        <v>0</v>
      </c>
      <c r="N170" s="37">
        <f>Input!Q84</f>
        <v>0</v>
      </c>
      <c r="O170" s="37">
        <f>Input!R84</f>
        <v>0</v>
      </c>
      <c r="P170" s="37">
        <f>Input!S84</f>
        <v>0</v>
      </c>
      <c r="Q170" s="37">
        <f>Input!T84</f>
        <v>0</v>
      </c>
    </row>
    <row r="171" spans="2:17" x14ac:dyDescent="0.2">
      <c r="B171" s="1" t="s">
        <v>181</v>
      </c>
      <c r="C171" s="36">
        <v>-51</v>
      </c>
      <c r="D171" s="36">
        <v>-51.9</v>
      </c>
      <c r="E171" s="36">
        <v>-57.5</v>
      </c>
      <c r="F171" s="36">
        <v>-56.5</v>
      </c>
      <c r="G171" s="36">
        <v>-65.599999999999994</v>
      </c>
      <c r="H171" s="37">
        <f>Input!K88</f>
        <v>-51.368457375000034</v>
      </c>
      <c r="I171" s="37">
        <f>Input!L88</f>
        <v>-61.398767100972698</v>
      </c>
      <c r="J171" s="37">
        <f>Input!M88</f>
        <v>-99.233290667848095</v>
      </c>
      <c r="K171" s="37">
        <f>Input!N88</f>
        <v>-94.6131762321899</v>
      </c>
      <c r="L171" s="37">
        <f>Input!O88</f>
        <v>-88.492519257162954</v>
      </c>
      <c r="M171" s="37">
        <f>Input!P88</f>
        <v>-94.790398966856785</v>
      </c>
      <c r="N171" s="37">
        <f>Input!Q88</f>
        <v>-103.35639451883246</v>
      </c>
      <c r="O171" s="37">
        <f>Input!R88</f>
        <v>-107.29921273745809</v>
      </c>
      <c r="P171" s="37">
        <f>Input!S88</f>
        <v>-116.05539633384389</v>
      </c>
      <c r="Q171" s="37">
        <f>Input!T88</f>
        <v>-121.24921249800298</v>
      </c>
    </row>
    <row r="172" spans="2:17" x14ac:dyDescent="0.2">
      <c r="B172" s="1" t="s">
        <v>182</v>
      </c>
      <c r="C172" s="36">
        <v>0</v>
      </c>
      <c r="D172" s="36">
        <v>0</v>
      </c>
      <c r="E172" s="36">
        <v>0</v>
      </c>
      <c r="F172" s="36">
        <v>0</v>
      </c>
      <c r="G172" s="36">
        <v>0</v>
      </c>
      <c r="H172" s="37">
        <f>Input!K89</f>
        <v>0</v>
      </c>
      <c r="I172" s="37">
        <f>Input!L89</f>
        <v>0</v>
      </c>
      <c r="J172" s="37">
        <f>Input!M89</f>
        <v>0</v>
      </c>
      <c r="K172" s="37">
        <f>Input!N89</f>
        <v>0</v>
      </c>
      <c r="L172" s="37">
        <f>Input!O89</f>
        <v>0</v>
      </c>
      <c r="M172" s="37">
        <f>Input!P89</f>
        <v>0</v>
      </c>
      <c r="N172" s="37">
        <f>Input!Q89</f>
        <v>0</v>
      </c>
      <c r="O172" s="37">
        <f>Input!R89</f>
        <v>0</v>
      </c>
      <c r="P172" s="37">
        <f>Input!S89</f>
        <v>0</v>
      </c>
      <c r="Q172" s="37">
        <f>Input!T89</f>
        <v>0</v>
      </c>
    </row>
    <row r="173" spans="2:17" x14ac:dyDescent="0.2">
      <c r="B173" s="1" t="s">
        <v>183</v>
      </c>
      <c r="C173" s="36">
        <v>0</v>
      </c>
      <c r="D173" s="36">
        <v>37.6</v>
      </c>
      <c r="E173" s="36">
        <v>5.4</v>
      </c>
      <c r="F173" s="36">
        <v>54.8</v>
      </c>
      <c r="G173" s="36">
        <v>40.799999999999997</v>
      </c>
      <c r="H173" s="37">
        <f>Input!K90</f>
        <v>0</v>
      </c>
      <c r="I173" s="37">
        <f>Input!L90</f>
        <v>0</v>
      </c>
      <c r="J173" s="37">
        <f>Input!M90</f>
        <v>0</v>
      </c>
      <c r="K173" s="37">
        <f>Input!N90</f>
        <v>0</v>
      </c>
      <c r="L173" s="37">
        <f>Input!O90</f>
        <v>0</v>
      </c>
      <c r="M173" s="37">
        <f>Input!P90</f>
        <v>0</v>
      </c>
      <c r="N173" s="37">
        <f>Input!Q90</f>
        <v>0</v>
      </c>
      <c r="O173" s="37">
        <f>Input!R90</f>
        <v>0</v>
      </c>
      <c r="P173" s="37">
        <f>Input!S90</f>
        <v>0</v>
      </c>
      <c r="Q173" s="37">
        <f>Input!T90</f>
        <v>0</v>
      </c>
    </row>
    <row r="174" spans="2:17" x14ac:dyDescent="0.2">
      <c r="B174" s="1" t="s">
        <v>184</v>
      </c>
      <c r="C174" s="36">
        <v>0</v>
      </c>
      <c r="D174" s="36">
        <v>0</v>
      </c>
      <c r="E174" s="36">
        <v>0</v>
      </c>
      <c r="F174" s="36"/>
      <c r="G174" s="36">
        <v>0</v>
      </c>
      <c r="H174" s="37">
        <f>Input!K91</f>
        <v>0</v>
      </c>
      <c r="I174" s="37">
        <f>Input!L91</f>
        <v>0</v>
      </c>
      <c r="J174" s="37">
        <f>Input!M91</f>
        <v>0</v>
      </c>
      <c r="K174" s="37">
        <f>Input!N91</f>
        <v>0</v>
      </c>
      <c r="L174" s="37">
        <f>Input!O91</f>
        <v>0</v>
      </c>
      <c r="M174" s="37">
        <f>Input!P91</f>
        <v>0</v>
      </c>
      <c r="N174" s="37">
        <f>Input!Q91</f>
        <v>0</v>
      </c>
      <c r="O174" s="37">
        <f>Input!R91</f>
        <v>0</v>
      </c>
      <c r="P174" s="37">
        <f>Input!S91</f>
        <v>0</v>
      </c>
      <c r="Q174" s="37">
        <f>Input!T91</f>
        <v>0</v>
      </c>
    </row>
    <row r="175" spans="2:17" x14ac:dyDescent="0.2">
      <c r="B175" s="1" t="s">
        <v>38</v>
      </c>
      <c r="C175" s="37">
        <f>C176-SUM(C166:C174)</f>
        <v>143.4</v>
      </c>
      <c r="D175" s="37">
        <f>D176-SUM(D166:D174)</f>
        <v>-99.300000000000068</v>
      </c>
      <c r="E175" s="37">
        <f>E176-SUM(E166:E174)</f>
        <v>-256.30000000000007</v>
      </c>
      <c r="F175" s="37">
        <f>F176-SUM(F166:F174)</f>
        <v>-87.5</v>
      </c>
      <c r="G175" s="37">
        <f>G176-SUM(G166:G174)</f>
        <v>-228.89999999999998</v>
      </c>
      <c r="H175" s="37">
        <f>Input!K92</f>
        <v>0</v>
      </c>
      <c r="I175" s="37">
        <f>Input!L92</f>
        <v>0</v>
      </c>
      <c r="J175" s="37">
        <f>Input!M92</f>
        <v>0</v>
      </c>
      <c r="K175" s="37">
        <f>Input!N92</f>
        <v>0</v>
      </c>
      <c r="L175" s="37">
        <f>Input!O92</f>
        <v>0</v>
      </c>
      <c r="M175" s="37">
        <f>Input!P92</f>
        <v>0</v>
      </c>
      <c r="N175" s="37">
        <f>Input!Q92</f>
        <v>0</v>
      </c>
      <c r="O175" s="37">
        <f>Input!R92</f>
        <v>0</v>
      </c>
      <c r="P175" s="37">
        <f>Input!S92</f>
        <v>0</v>
      </c>
      <c r="Q175" s="37">
        <f>Input!T92</f>
        <v>0</v>
      </c>
    </row>
    <row r="176" spans="2:17" x14ac:dyDescent="0.2">
      <c r="B176" s="21" t="s">
        <v>185</v>
      </c>
      <c r="C176" s="146">
        <v>92.4</v>
      </c>
      <c r="D176" s="146">
        <v>235.5</v>
      </c>
      <c r="E176" s="146">
        <v>-186.3</v>
      </c>
      <c r="F176" s="146">
        <v>-61.5</v>
      </c>
      <c r="G176" s="146">
        <v>-80.2</v>
      </c>
      <c r="H176" s="38">
        <f t="shared" ref="H176:Q176" si="110">SUM(H166:H175)</f>
        <v>35.419402849427868</v>
      </c>
      <c r="I176" s="38">
        <f t="shared" si="110"/>
        <v>-205.19018497073722</v>
      </c>
      <c r="J176" s="38">
        <f t="shared" si="110"/>
        <v>-246.97020148977862</v>
      </c>
      <c r="K176" s="38">
        <f t="shared" si="110"/>
        <v>-57.420139783621607</v>
      </c>
      <c r="L176" s="38">
        <f t="shared" si="110"/>
        <v>-294.57342008238243</v>
      </c>
      <c r="M176" s="38">
        <f t="shared" si="110"/>
        <v>-318.66857076476845</v>
      </c>
      <c r="N176" s="38">
        <f t="shared" si="110"/>
        <v>-81.399236829467654</v>
      </c>
      <c r="O176" s="38">
        <f t="shared" si="110"/>
        <v>-368.56654614236601</v>
      </c>
      <c r="P176" s="38">
        <f t="shared" si="110"/>
        <v>-183.25918051372406</v>
      </c>
      <c r="Q176" s="38">
        <f t="shared" si="110"/>
        <v>-404.97347567677554</v>
      </c>
    </row>
    <row r="177" spans="2:17" x14ac:dyDescent="0.2"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</row>
    <row r="178" spans="2:17" x14ac:dyDescent="0.2">
      <c r="B178" s="1" t="s">
        <v>186</v>
      </c>
      <c r="C178" s="37">
        <f t="shared" ref="C178:Q178" si="111">C152+C161+C176</f>
        <v>-329.80000000000007</v>
      </c>
      <c r="D178" s="37">
        <f t="shared" si="111"/>
        <v>44.199999999999932</v>
      </c>
      <c r="E178" s="37">
        <f t="shared" si="111"/>
        <v>-160.79999999999987</v>
      </c>
      <c r="F178" s="37">
        <f t="shared" si="111"/>
        <v>-3.5000000000000853</v>
      </c>
      <c r="G178" s="37">
        <f t="shared" si="111"/>
        <v>84.000000000000014</v>
      </c>
      <c r="H178" s="37">
        <f>H152+H161+H176</f>
        <v>-4.0999999999998948</v>
      </c>
      <c r="I178" s="37">
        <f t="shared" si="111"/>
        <v>-3.694822225952521E-13</v>
      </c>
      <c r="J178" s="37">
        <f t="shared" si="111"/>
        <v>3.979039320256561E-13</v>
      </c>
      <c r="K178" s="37">
        <f t="shared" si="111"/>
        <v>-1.1368683772161603E-13</v>
      </c>
      <c r="L178" s="37">
        <f t="shared" si="111"/>
        <v>0</v>
      </c>
      <c r="M178" s="37">
        <f t="shared" si="111"/>
        <v>0</v>
      </c>
      <c r="N178" s="37">
        <f t="shared" si="111"/>
        <v>0</v>
      </c>
      <c r="O178" s="37">
        <f t="shared" si="111"/>
        <v>0</v>
      </c>
      <c r="P178" s="37">
        <f t="shared" si="111"/>
        <v>0</v>
      </c>
      <c r="Q178" s="37">
        <f t="shared" si="111"/>
        <v>4.9457724902287055</v>
      </c>
    </row>
    <row r="179" spans="2:17" x14ac:dyDescent="0.2">
      <c r="B179" s="1" t="s">
        <v>187</v>
      </c>
      <c r="C179" s="36">
        <v>394.2</v>
      </c>
      <c r="D179" s="37">
        <f>C64</f>
        <v>62.8</v>
      </c>
      <c r="E179" s="37">
        <f t="shared" ref="E179:Q179" si="112">D64</f>
        <v>73</v>
      </c>
      <c r="F179" s="37">
        <f t="shared" si="112"/>
        <v>69.5</v>
      </c>
      <c r="G179" s="37">
        <f t="shared" si="112"/>
        <v>64.599999999999994</v>
      </c>
      <c r="H179" s="37">
        <f t="shared" si="112"/>
        <v>104.1</v>
      </c>
      <c r="I179" s="37">
        <f t="shared" si="112"/>
        <v>100.0000000000001</v>
      </c>
      <c r="J179" s="37">
        <f t="shared" si="112"/>
        <v>99.99999999999973</v>
      </c>
      <c r="K179" s="37">
        <f t="shared" si="112"/>
        <v>100.00000000000013</v>
      </c>
      <c r="L179" s="37">
        <f t="shared" si="112"/>
        <v>100.00000000000001</v>
      </c>
      <c r="M179" s="37">
        <f t="shared" si="112"/>
        <v>100.00000000000001</v>
      </c>
      <c r="N179" s="37">
        <f t="shared" si="112"/>
        <v>100.00000000000001</v>
      </c>
      <c r="O179" s="37">
        <f t="shared" si="112"/>
        <v>100.00000000000001</v>
      </c>
      <c r="P179" s="37">
        <f t="shared" si="112"/>
        <v>100.00000000000001</v>
      </c>
      <c r="Q179" s="37">
        <f t="shared" si="112"/>
        <v>100.00000000000001</v>
      </c>
    </row>
    <row r="180" spans="2:17" x14ac:dyDescent="0.2">
      <c r="B180" s="1" t="s">
        <v>188</v>
      </c>
      <c r="C180" s="36">
        <v>0</v>
      </c>
      <c r="D180" s="36">
        <v>0</v>
      </c>
      <c r="E180" s="36">
        <v>0</v>
      </c>
      <c r="F180" s="36">
        <v>0</v>
      </c>
      <c r="G180" s="36">
        <v>0</v>
      </c>
      <c r="H180" s="37">
        <f>Input!K93</f>
        <v>0</v>
      </c>
      <c r="I180" s="37">
        <f>Input!L93</f>
        <v>0</v>
      </c>
      <c r="J180" s="37">
        <f>Input!M93</f>
        <v>0</v>
      </c>
      <c r="K180" s="37">
        <f>Input!N93</f>
        <v>0</v>
      </c>
      <c r="L180" s="37">
        <f>Input!O93</f>
        <v>0</v>
      </c>
      <c r="M180" s="37">
        <f>Input!P93</f>
        <v>0</v>
      </c>
      <c r="N180" s="37">
        <f>Input!Q93</f>
        <v>0</v>
      </c>
      <c r="O180" s="37">
        <f>Input!R93</f>
        <v>0</v>
      </c>
      <c r="P180" s="37">
        <f>Input!S93</f>
        <v>0</v>
      </c>
      <c r="Q180" s="37">
        <f>Input!T93</f>
        <v>0</v>
      </c>
    </row>
    <row r="181" spans="2:17" x14ac:dyDescent="0.2">
      <c r="B181" s="21" t="s">
        <v>189</v>
      </c>
      <c r="C181" s="38">
        <f>C178+C179+C180</f>
        <v>64.39999999999992</v>
      </c>
      <c r="D181" s="38">
        <f t="shared" ref="D181:Q181" si="113">D178+D179+D180</f>
        <v>106.99999999999993</v>
      </c>
      <c r="E181" s="38">
        <f t="shared" si="113"/>
        <v>-87.799999999999869</v>
      </c>
      <c r="F181" s="38">
        <f t="shared" si="113"/>
        <v>65.999999999999915</v>
      </c>
      <c r="G181" s="38">
        <f>G178+G179+G180</f>
        <v>148.60000000000002</v>
      </c>
      <c r="H181" s="38">
        <f>H178+H179+H180</f>
        <v>100.0000000000001</v>
      </c>
      <c r="I181" s="38">
        <f t="shared" si="113"/>
        <v>99.99999999999973</v>
      </c>
      <c r="J181" s="38">
        <f t="shared" si="113"/>
        <v>100.00000000000013</v>
      </c>
      <c r="K181" s="38">
        <f t="shared" si="113"/>
        <v>100.00000000000001</v>
      </c>
      <c r="L181" s="38">
        <f t="shared" si="113"/>
        <v>100.00000000000001</v>
      </c>
      <c r="M181" s="38">
        <f t="shared" si="113"/>
        <v>100.00000000000001</v>
      </c>
      <c r="N181" s="38">
        <f t="shared" si="113"/>
        <v>100.00000000000001</v>
      </c>
      <c r="O181" s="38">
        <f t="shared" si="113"/>
        <v>100.00000000000001</v>
      </c>
      <c r="P181" s="38">
        <f t="shared" si="113"/>
        <v>100.00000000000001</v>
      </c>
      <c r="Q181" s="38">
        <f t="shared" si="113"/>
        <v>104.94577249022872</v>
      </c>
    </row>
    <row r="182" spans="2:17" x14ac:dyDescent="0.2"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</row>
    <row r="183" spans="2:17" x14ac:dyDescent="0.2">
      <c r="B183" s="1" t="s">
        <v>143</v>
      </c>
      <c r="C183" s="37">
        <v>0</v>
      </c>
      <c r="D183" s="37">
        <v>0</v>
      </c>
      <c r="E183" s="37">
        <v>0</v>
      </c>
      <c r="F183" s="37">
        <v>0</v>
      </c>
      <c r="G183" s="37">
        <v>0</v>
      </c>
      <c r="H183" s="37">
        <f t="shared" ref="H183:Q183" si="114">IF(H181-H64 =0, 0, H181-H64)</f>
        <v>0</v>
      </c>
      <c r="I183" s="37">
        <f t="shared" si="114"/>
        <v>0</v>
      </c>
      <c r="J183" s="37">
        <f t="shared" si="114"/>
        <v>0</v>
      </c>
      <c r="K183" s="37">
        <f t="shared" si="114"/>
        <v>0</v>
      </c>
      <c r="L183" s="37">
        <f t="shared" si="114"/>
        <v>0</v>
      </c>
      <c r="M183" s="37">
        <f t="shared" si="114"/>
        <v>0</v>
      </c>
      <c r="N183" s="37">
        <f t="shared" si="114"/>
        <v>0</v>
      </c>
      <c r="O183" s="37">
        <f t="shared" si="114"/>
        <v>0</v>
      </c>
      <c r="P183" s="37">
        <f t="shared" si="114"/>
        <v>0</v>
      </c>
      <c r="Q183" s="37">
        <f t="shared" si="114"/>
        <v>0</v>
      </c>
    </row>
    <row r="185" spans="2:17" x14ac:dyDescent="0.2">
      <c r="B185" s="31" t="s">
        <v>190</v>
      </c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</row>
    <row r="186" spans="2:17" x14ac:dyDescent="0.2">
      <c r="B186" s="29" t="s">
        <v>191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</row>
    <row r="187" spans="2:17" x14ac:dyDescent="0.2">
      <c r="B187" s="1" t="s">
        <v>192</v>
      </c>
      <c r="C187" s="24">
        <f t="shared" ref="C187:Q187" si="115">-C155/C34</f>
        <v>0.1144477811144478</v>
      </c>
      <c r="D187" s="24">
        <f t="shared" si="115"/>
        <v>0.10929432013769366</v>
      </c>
      <c r="E187" s="24">
        <f t="shared" si="115"/>
        <v>9.9226561026221446E-2</v>
      </c>
      <c r="F187" s="24">
        <f t="shared" si="115"/>
        <v>0.18585732165206506</v>
      </c>
      <c r="G187" s="24">
        <f t="shared" si="115"/>
        <v>0.18998562529947288</v>
      </c>
      <c r="H187" s="24">
        <f t="shared" si="115"/>
        <v>0.15448097250469156</v>
      </c>
      <c r="I187" s="24">
        <f t="shared" si="115"/>
        <v>0.14558620835318223</v>
      </c>
      <c r="J187" s="24">
        <f t="shared" si="115"/>
        <v>0.13718132265466038</v>
      </c>
      <c r="K187" s="24">
        <f t="shared" si="115"/>
        <v>0.1379248882664677</v>
      </c>
      <c r="L187" s="24">
        <f t="shared" si="115"/>
        <v>0.13467551865866892</v>
      </c>
      <c r="M187" s="24">
        <f t="shared" si="115"/>
        <v>0.13443031764757543</v>
      </c>
      <c r="N187" s="24">
        <f t="shared" si="115"/>
        <v>0.13336639620132806</v>
      </c>
      <c r="O187" s="24">
        <f t="shared" si="115"/>
        <v>0.13270590771050944</v>
      </c>
      <c r="P187" s="24">
        <f t="shared" si="115"/>
        <v>0.131836520337103</v>
      </c>
      <c r="Q187" s="24">
        <f t="shared" si="115"/>
        <v>0.1312645693967085</v>
      </c>
    </row>
    <row r="188" spans="2:17" x14ac:dyDescent="0.2">
      <c r="B188" s="1" t="s">
        <v>193</v>
      </c>
      <c r="C188" s="24">
        <f t="shared" ref="C188:Q188" si="116">-C155/C80</f>
        <v>7.7318425679635721E-3</v>
      </c>
      <c r="D188" s="24">
        <f t="shared" si="116"/>
        <v>1.0433568157078601E-2</v>
      </c>
      <c r="E188" s="24">
        <f t="shared" si="116"/>
        <v>1.0661369763058152E-2</v>
      </c>
      <c r="F188" s="24">
        <f t="shared" si="116"/>
        <v>1.1653456799811661E-2</v>
      </c>
      <c r="G188" s="24">
        <f t="shared" si="116"/>
        <v>1.5048866116329822E-2</v>
      </c>
      <c r="H188" s="24">
        <f t="shared" si="116"/>
        <v>1.1678218010222414E-2</v>
      </c>
      <c r="I188" s="24">
        <f t="shared" si="116"/>
        <v>1.2096304743130889E-2</v>
      </c>
      <c r="J188" s="24">
        <f t="shared" si="116"/>
        <v>1.2480173492093079E-2</v>
      </c>
      <c r="K188" s="24">
        <f t="shared" si="116"/>
        <v>1.2517004706939389E-2</v>
      </c>
      <c r="L188" s="24">
        <f t="shared" si="116"/>
        <v>1.2844172313549729E-2</v>
      </c>
      <c r="M188" s="24">
        <f t="shared" si="116"/>
        <v>1.3142968123184162E-2</v>
      </c>
      <c r="N188" s="24">
        <f t="shared" si="116"/>
        <v>1.3039084939568651E-2</v>
      </c>
      <c r="O188" s="24">
        <f t="shared" si="116"/>
        <v>1.3300678697783157E-2</v>
      </c>
      <c r="P188" s="24">
        <f t="shared" si="116"/>
        <v>1.3259505570936716E-2</v>
      </c>
      <c r="Q188" s="24">
        <f t="shared" si="116"/>
        <v>1.3524146451878549E-2</v>
      </c>
    </row>
    <row r="189" spans="2:17" x14ac:dyDescent="0.2">
      <c r="B189" s="1" t="s">
        <v>194</v>
      </c>
      <c r="C189" s="24">
        <f t="shared" ref="C189:Q189" si="117">C147/C9</f>
        <v>2.4526110971629426E-2</v>
      </c>
      <c r="D189" s="24">
        <f t="shared" si="117"/>
        <v>-3.4944790305638809E-2</v>
      </c>
      <c r="E189" s="24">
        <f t="shared" si="117"/>
        <v>-3.7596956672101181E-2</v>
      </c>
      <c r="F189" s="24">
        <f t="shared" si="117"/>
        <v>-1.0574921645094146E-2</v>
      </c>
      <c r="G189" s="24">
        <f t="shared" si="117"/>
        <v>3.6588572931316421E-4</v>
      </c>
      <c r="H189" s="24">
        <f t="shared" si="117"/>
        <v>-2.20721529833831E-3</v>
      </c>
      <c r="I189" s="24">
        <f t="shared" si="117"/>
        <v>-7.0735710852879857E-3</v>
      </c>
      <c r="J189" s="24">
        <f t="shared" si="117"/>
        <v>-6.5291659034595597E-3</v>
      </c>
      <c r="K189" s="24">
        <f t="shared" si="117"/>
        <v>-7.2104191186328171E-3</v>
      </c>
      <c r="L189" s="24">
        <f t="shared" si="117"/>
        <v>-5.5664023079028116E-3</v>
      </c>
      <c r="M189" s="24">
        <f t="shared" si="117"/>
        <v>-5.0046850449045003E-3</v>
      </c>
      <c r="N189" s="24">
        <f t="shared" si="117"/>
        <v>-6.318783504194442E-3</v>
      </c>
      <c r="O189" s="24">
        <f t="shared" si="117"/>
        <v>-4.2557045905306868E-3</v>
      </c>
      <c r="P189" s="24">
        <f t="shared" si="117"/>
        <v>-5.3887802862872397E-3</v>
      </c>
      <c r="Q189" s="24">
        <f t="shared" si="117"/>
        <v>-4.5511397041001645E-3</v>
      </c>
    </row>
    <row r="190" spans="2:17" x14ac:dyDescent="0.2">
      <c r="B190" s="29" t="s">
        <v>195</v>
      </c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</row>
    <row r="191" spans="2:17" x14ac:dyDescent="0.2">
      <c r="B191" s="1" t="s">
        <v>196</v>
      </c>
      <c r="C191" s="24">
        <f t="shared" ref="C191:Q191" si="118">(C91+C85)/C34</f>
        <v>3.4534534534534544</v>
      </c>
      <c r="D191" s="24">
        <f t="shared" si="118"/>
        <v>3.0374354561101558</v>
      </c>
      <c r="E191" s="24">
        <f t="shared" si="118"/>
        <v>2.7481607243916235</v>
      </c>
      <c r="F191" s="24">
        <f t="shared" si="118"/>
        <v>4.6054443053817273</v>
      </c>
      <c r="G191" s="24">
        <f t="shared" si="118"/>
        <v>4.0570196454240532</v>
      </c>
      <c r="H191" s="24">
        <f t="shared" si="118"/>
        <v>3.9742214062143582</v>
      </c>
      <c r="I191" s="24">
        <f t="shared" si="118"/>
        <v>3.4010619205607795</v>
      </c>
      <c r="J191" s="24">
        <f t="shared" si="118"/>
        <v>2.9222755863608225</v>
      </c>
      <c r="K191" s="24">
        <f t="shared" si="118"/>
        <v>2.8853906312078754</v>
      </c>
      <c r="L191" s="24">
        <f t="shared" si="118"/>
        <v>2.4969170316323948</v>
      </c>
      <c r="M191" s="24">
        <f t="shared" si="118"/>
        <v>2.1873120070324448</v>
      </c>
      <c r="N191" s="24">
        <f t="shared" si="118"/>
        <v>2.1407371044235686</v>
      </c>
      <c r="O191" s="24">
        <f t="shared" si="118"/>
        <v>1.7753275931419408</v>
      </c>
      <c r="P191" s="24">
        <f t="shared" si="118"/>
        <v>1.6913046512102778</v>
      </c>
      <c r="Q191" s="24">
        <f t="shared" si="118"/>
        <v>1.2922150428188584</v>
      </c>
    </row>
    <row r="192" spans="2:17" x14ac:dyDescent="0.2">
      <c r="B192" s="1" t="s">
        <v>197</v>
      </c>
      <c r="C192" s="24">
        <f t="shared" ref="C192:Q192" si="119">C110/C34</f>
        <v>3.2439105772439114</v>
      </c>
      <c r="D192" s="24">
        <f t="shared" si="119"/>
        <v>2.8803786574870922</v>
      </c>
      <c r="E192" s="24">
        <f t="shared" si="119"/>
        <v>2.6170533861535552</v>
      </c>
      <c r="F192" s="24">
        <f t="shared" si="119"/>
        <v>4.4033166458072595</v>
      </c>
      <c r="G192" s="24">
        <f t="shared" si="119"/>
        <v>3.8076185912793479</v>
      </c>
      <c r="H192" s="24">
        <f t="shared" si="119"/>
        <v>3.7366122796192927</v>
      </c>
      <c r="I192" s="24">
        <f t="shared" si="119"/>
        <v>3.1875744109449862</v>
      </c>
      <c r="J192" s="24">
        <f t="shared" si="119"/>
        <v>2.7297320556189217</v>
      </c>
      <c r="K192" s="24">
        <f t="shared" si="119"/>
        <v>2.7023368416200757</v>
      </c>
      <c r="L192" s="24">
        <f t="shared" si="119"/>
        <v>2.3247774585151326</v>
      </c>
      <c r="M192" s="24">
        <f t="shared" si="119"/>
        <v>2.0212295516424494</v>
      </c>
      <c r="N192" s="24">
        <f t="shared" si="119"/>
        <v>1.9840051683120032</v>
      </c>
      <c r="O192" s="24">
        <f t="shared" si="119"/>
        <v>1.6237994176636767</v>
      </c>
      <c r="P192" s="24">
        <f t="shared" si="119"/>
        <v>1.5469202247691709</v>
      </c>
      <c r="Q192" s="24">
        <f t="shared" si="119"/>
        <v>1.1459232349524948</v>
      </c>
    </row>
    <row r="193" spans="2:17" x14ac:dyDescent="0.2">
      <c r="B193" s="1" t="s">
        <v>198</v>
      </c>
      <c r="C193" s="24">
        <f t="shared" ref="C193:Q193" si="120">(C85+C91)/(C85+C91+C105)</f>
        <v>0.39142273655547993</v>
      </c>
      <c r="D193" s="24">
        <f t="shared" si="120"/>
        <v>0.45119846596356661</v>
      </c>
      <c r="E193" s="24">
        <f t="shared" si="120"/>
        <v>0.44732397826020204</v>
      </c>
      <c r="F193" s="24">
        <f t="shared" si="120"/>
        <v>0.45234948830634009</v>
      </c>
      <c r="G193" s="24">
        <f t="shared" si="120"/>
        <v>0.48674906582351252</v>
      </c>
      <c r="H193" s="24">
        <f t="shared" si="120"/>
        <v>0.45193198921353089</v>
      </c>
      <c r="I193" s="24">
        <f t="shared" si="120"/>
        <v>0.42614612461512807</v>
      </c>
      <c r="J193" s="24">
        <f t="shared" si="120"/>
        <v>0.40170855926132615</v>
      </c>
      <c r="K193" s="24">
        <f t="shared" si="120"/>
        <v>0.38967171469997969</v>
      </c>
      <c r="L193" s="24">
        <f t="shared" si="120"/>
        <v>0.35497147954036762</v>
      </c>
      <c r="M193" s="24">
        <f t="shared" si="120"/>
        <v>0.31928821985521683</v>
      </c>
      <c r="N193" s="24">
        <f t="shared" si="120"/>
        <v>0.30704349252632979</v>
      </c>
      <c r="O193" s="24">
        <f t="shared" si="120"/>
        <v>0.26148988223860686</v>
      </c>
      <c r="P193" s="24">
        <f t="shared" si="120"/>
        <v>0.24696991381057015</v>
      </c>
      <c r="Q193" s="24">
        <f t="shared" si="120"/>
        <v>0.19356270358844058</v>
      </c>
    </row>
    <row r="194" spans="2:17" x14ac:dyDescent="0.2">
      <c r="B194" s="1" t="s">
        <v>199</v>
      </c>
      <c r="C194" s="24">
        <f t="shared" ref="C194:Q194" si="121">(C85+C91)/C105</f>
        <v>0.64317673378076057</v>
      </c>
      <c r="D194" s="24">
        <f t="shared" si="121"/>
        <v>0.82215234102026546</v>
      </c>
      <c r="E194" s="24">
        <f t="shared" si="121"/>
        <v>0.80937829879437739</v>
      </c>
      <c r="F194" s="24">
        <f t="shared" si="121"/>
        <v>0.82598204264870934</v>
      </c>
      <c r="G194" s="24">
        <f t="shared" si="121"/>
        <v>0.94836469534050194</v>
      </c>
      <c r="H194" s="24">
        <f t="shared" si="121"/>
        <v>0.82459107322285685</v>
      </c>
      <c r="I194" s="24">
        <f t="shared" si="121"/>
        <v>0.74260389777680025</v>
      </c>
      <c r="J194" s="24">
        <f t="shared" si="121"/>
        <v>0.67142621790704737</v>
      </c>
      <c r="K194" s="24">
        <f t="shared" si="121"/>
        <v>0.63846248664098526</v>
      </c>
      <c r="L194" s="24">
        <f t="shared" si="121"/>
        <v>0.55031904525310471</v>
      </c>
      <c r="M194" s="24">
        <f t="shared" si="121"/>
        <v>0.46905052794489049</v>
      </c>
      <c r="N194" s="24">
        <f t="shared" si="121"/>
        <v>0.44309201113606156</v>
      </c>
      <c r="O194" s="24">
        <f t="shared" si="121"/>
        <v>0.35407758939206874</v>
      </c>
      <c r="P194" s="24">
        <f t="shared" si="121"/>
        <v>0.32796818923971011</v>
      </c>
      <c r="Q194" s="24">
        <f t="shared" si="121"/>
        <v>0.24002201342837848</v>
      </c>
    </row>
    <row r="195" spans="2:17" x14ac:dyDescent="0.2">
      <c r="B195" s="29" t="s">
        <v>326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</row>
    <row r="196" spans="2:17" x14ac:dyDescent="0.2">
      <c r="B196" s="1" t="s">
        <v>200</v>
      </c>
      <c r="C196" s="37">
        <f>C85</f>
        <v>63.6</v>
      </c>
      <c r="D196" s="37">
        <f t="shared" ref="D196:Q196" si="122">D85</f>
        <v>214.6</v>
      </c>
      <c r="E196" s="37">
        <f t="shared" si="122"/>
        <v>67.099999999999994</v>
      </c>
      <c r="F196" s="37">
        <f t="shared" si="122"/>
        <v>62.7</v>
      </c>
      <c r="G196" s="37">
        <f t="shared" si="122"/>
        <v>61.5</v>
      </c>
      <c r="H196" s="37">
        <f t="shared" si="122"/>
        <v>43.2</v>
      </c>
      <c r="I196" s="37">
        <f t="shared" si="122"/>
        <v>43.2</v>
      </c>
      <c r="J196" s="37">
        <f t="shared" si="122"/>
        <v>43.2</v>
      </c>
      <c r="K196" s="37">
        <f t="shared" si="122"/>
        <v>53.2</v>
      </c>
      <c r="L196" s="37">
        <f t="shared" si="122"/>
        <v>53.2</v>
      </c>
      <c r="M196" s="37">
        <f t="shared" si="122"/>
        <v>53.2</v>
      </c>
      <c r="N196" s="37">
        <f t="shared" si="122"/>
        <v>65.7</v>
      </c>
      <c r="O196" s="37">
        <f t="shared" si="122"/>
        <v>65.7</v>
      </c>
      <c r="P196" s="37">
        <f t="shared" si="122"/>
        <v>75.7</v>
      </c>
      <c r="Q196" s="37">
        <f t="shared" si="122"/>
        <v>75.7</v>
      </c>
    </row>
    <row r="197" spans="2:17" x14ac:dyDescent="0.2">
      <c r="B197" s="1" t="s">
        <v>327</v>
      </c>
      <c r="C197" s="37"/>
      <c r="D197" s="37"/>
      <c r="E197" s="37"/>
      <c r="F197" s="37"/>
      <c r="G197" s="37"/>
      <c r="H197" s="254">
        <f>Input!K100+Input!K101</f>
        <v>-43.2</v>
      </c>
      <c r="I197" s="254">
        <f>Input!L100+Input!L101</f>
        <v>-43.2</v>
      </c>
      <c r="J197" s="254">
        <f>Input!M100+Input!M101</f>
        <v>-43.2</v>
      </c>
      <c r="K197" s="254">
        <f>Input!N100+Input!N101</f>
        <v>-53.2</v>
      </c>
      <c r="L197" s="254">
        <f>Input!O100+Input!O101</f>
        <v>-53.2</v>
      </c>
      <c r="M197" s="254">
        <f>Input!P100+Input!P101</f>
        <v>-53.2</v>
      </c>
      <c r="N197" s="254">
        <f>Input!Q100+Input!Q101</f>
        <v>-65.7</v>
      </c>
      <c r="O197" s="254">
        <f>Input!R100+Input!R101</f>
        <v>-65.7</v>
      </c>
      <c r="P197" s="254">
        <f>Input!S100+Input!S101</f>
        <v>-75.7</v>
      </c>
      <c r="Q197" s="254">
        <f>Input!T100+Input!T101</f>
        <v>-75.7</v>
      </c>
    </row>
    <row r="198" spans="2:17" x14ac:dyDescent="0.2">
      <c r="B198" s="1" t="s">
        <v>201</v>
      </c>
      <c r="C198" s="37">
        <f t="shared" ref="C198:H198" si="123">C91</f>
        <v>971.4</v>
      </c>
      <c r="D198" s="37">
        <f t="shared" si="123"/>
        <v>1197.2</v>
      </c>
      <c r="E198" s="37">
        <f t="shared" si="123"/>
        <v>1389.7</v>
      </c>
      <c r="F198" s="37">
        <f t="shared" si="123"/>
        <v>1409.2</v>
      </c>
      <c r="G198" s="37">
        <f t="shared" si="123"/>
        <v>1631.9</v>
      </c>
      <c r="H198" s="37">
        <f t="shared" si="123"/>
        <v>1629.3878602244279</v>
      </c>
      <c r="I198" s="37">
        <f t="shared" ref="I198:Q198" si="124">I91</f>
        <v>1549.8964423546633</v>
      </c>
      <c r="J198" s="37">
        <f t="shared" si="124"/>
        <v>1474.5220315327329</v>
      </c>
      <c r="K198" s="37">
        <f t="shared" si="124"/>
        <v>1523.0528804813011</v>
      </c>
      <c r="L198" s="37">
        <f t="shared" si="124"/>
        <v>1397.3188937185816</v>
      </c>
      <c r="M198" s="37">
        <f t="shared" si="124"/>
        <v>1263.8036545378575</v>
      </c>
      <c r="N198" s="37">
        <f t="shared" si="124"/>
        <v>1300.1589037653082</v>
      </c>
      <c r="O198" s="37">
        <f t="shared" si="124"/>
        <v>1105.9155015649901</v>
      </c>
      <c r="P198" s="37">
        <f t="shared" si="124"/>
        <v>1095.689943430044</v>
      </c>
      <c r="Q198" s="37">
        <f t="shared" si="124"/>
        <v>851.2999999999995</v>
      </c>
    </row>
    <row r="199" spans="2:17" x14ac:dyDescent="0.2">
      <c r="B199" s="1" t="s">
        <v>202</v>
      </c>
      <c r="C199" s="37">
        <f>SUM(C196:C198)</f>
        <v>1035</v>
      </c>
      <c r="D199" s="37">
        <f t="shared" ref="D199:Q199" si="125">SUM(D196:D198)</f>
        <v>1411.8</v>
      </c>
      <c r="E199" s="37">
        <f t="shared" si="125"/>
        <v>1456.8</v>
      </c>
      <c r="F199" s="37">
        <f t="shared" si="125"/>
        <v>1471.9</v>
      </c>
      <c r="G199" s="37">
        <f t="shared" si="125"/>
        <v>1693.4</v>
      </c>
      <c r="H199" s="37">
        <f t="shared" si="125"/>
        <v>1629.3878602244279</v>
      </c>
      <c r="I199" s="37">
        <f t="shared" si="125"/>
        <v>1549.8964423546633</v>
      </c>
      <c r="J199" s="37">
        <f t="shared" si="125"/>
        <v>1474.5220315327329</v>
      </c>
      <c r="K199" s="37">
        <f t="shared" si="125"/>
        <v>1523.0528804813011</v>
      </c>
      <c r="L199" s="37">
        <f t="shared" si="125"/>
        <v>1397.3188937185816</v>
      </c>
      <c r="M199" s="37">
        <f t="shared" si="125"/>
        <v>1263.8036545378575</v>
      </c>
      <c r="N199" s="37">
        <f t="shared" si="125"/>
        <v>1300.1589037653082</v>
      </c>
      <c r="O199" s="37">
        <f t="shared" si="125"/>
        <v>1105.9155015649901</v>
      </c>
      <c r="P199" s="37">
        <f t="shared" si="125"/>
        <v>1095.689943430044</v>
      </c>
      <c r="Q199" s="37">
        <f t="shared" si="125"/>
        <v>851.2999999999995</v>
      </c>
    </row>
    <row r="200" spans="2:17" x14ac:dyDescent="0.2">
      <c r="B200" s="29" t="s">
        <v>203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</row>
    <row r="201" spans="2:17" x14ac:dyDescent="0.2">
      <c r="B201" s="1" t="s">
        <v>204</v>
      </c>
      <c r="C201" s="36">
        <v>67.400000000000006</v>
      </c>
      <c r="D201" s="36">
        <v>67.099999999999994</v>
      </c>
      <c r="E201" s="36">
        <v>66</v>
      </c>
      <c r="F201" s="36">
        <v>63.2</v>
      </c>
      <c r="G201" s="36">
        <v>62.3</v>
      </c>
      <c r="H201" s="37">
        <f>G201+H$204-H$205</f>
        <v>60.8</v>
      </c>
      <c r="I201" s="37">
        <f t="shared" ref="I201:Q201" si="126">H201+I$204-I$205</f>
        <v>58.3</v>
      </c>
      <c r="J201" s="37">
        <f t="shared" si="126"/>
        <v>55.8</v>
      </c>
      <c r="K201" s="37">
        <f t="shared" si="126"/>
        <v>54.3</v>
      </c>
      <c r="L201" s="37">
        <f t="shared" si="126"/>
        <v>51.8</v>
      </c>
      <c r="M201" s="37">
        <f t="shared" si="126"/>
        <v>49.3</v>
      </c>
      <c r="N201" s="37">
        <f t="shared" si="126"/>
        <v>47.8</v>
      </c>
      <c r="O201" s="37">
        <f t="shared" si="126"/>
        <v>45.8</v>
      </c>
      <c r="P201" s="37">
        <f t="shared" si="126"/>
        <v>43.8</v>
      </c>
      <c r="Q201" s="37">
        <f t="shared" si="126"/>
        <v>42.3</v>
      </c>
    </row>
    <row r="202" spans="2:17" x14ac:dyDescent="0.2">
      <c r="B202" s="1" t="s">
        <v>296</v>
      </c>
      <c r="C202" s="36">
        <v>68</v>
      </c>
      <c r="D202" s="36">
        <v>67.5</v>
      </c>
      <c r="E202" s="36">
        <v>66.3</v>
      </c>
      <c r="F202" s="36">
        <v>63.6</v>
      </c>
      <c r="G202" s="36">
        <v>62.7</v>
      </c>
      <c r="H202" s="37">
        <f>G202+H$204-H$205</f>
        <v>61.2</v>
      </c>
      <c r="I202" s="37">
        <f t="shared" ref="I202:Q202" si="127">H202+I$204-I$205</f>
        <v>58.7</v>
      </c>
      <c r="J202" s="37">
        <f t="shared" si="127"/>
        <v>56.2</v>
      </c>
      <c r="K202" s="37">
        <f t="shared" si="127"/>
        <v>54.7</v>
      </c>
      <c r="L202" s="37">
        <f t="shared" si="127"/>
        <v>52.2</v>
      </c>
      <c r="M202" s="37">
        <f t="shared" si="127"/>
        <v>49.7</v>
      </c>
      <c r="N202" s="37">
        <f t="shared" si="127"/>
        <v>48.2</v>
      </c>
      <c r="O202" s="37">
        <f t="shared" si="127"/>
        <v>46.2</v>
      </c>
      <c r="P202" s="37">
        <f t="shared" si="127"/>
        <v>44.2</v>
      </c>
      <c r="Q202" s="37">
        <f t="shared" si="127"/>
        <v>42.7</v>
      </c>
    </row>
    <row r="203" spans="2:17" x14ac:dyDescent="0.2">
      <c r="B203" s="1" t="str">
        <f ca="1" xml:space="preserve"> "Average Share Prices (" &amp;B5 &amp;")"</f>
        <v>Average Share Prices (46156)</v>
      </c>
      <c r="C203" s="36"/>
      <c r="D203" s="36">
        <v>42.15</v>
      </c>
      <c r="E203" s="36">
        <v>41.06</v>
      </c>
      <c r="F203" s="36">
        <v>47.86</v>
      </c>
      <c r="G203" s="36">
        <v>47.35</v>
      </c>
      <c r="H203" s="37">
        <f>Input!K79</f>
        <v>40</v>
      </c>
      <c r="I203" s="37">
        <f>Input!L79</f>
        <v>43</v>
      </c>
      <c r="J203" s="37">
        <f>Input!M79</f>
        <v>46.225000000000001</v>
      </c>
      <c r="K203" s="37">
        <f>Input!N79</f>
        <v>49.691874999999996</v>
      </c>
      <c r="L203" s="37">
        <f>Input!O79</f>
        <v>53.418765624999992</v>
      </c>
      <c r="M203" s="37">
        <f>Input!P79</f>
        <v>57.425173046874988</v>
      </c>
      <c r="N203" s="37">
        <f>Input!Q79</f>
        <v>61.732061025390607</v>
      </c>
      <c r="O203" s="37">
        <f>Input!R79</f>
        <v>66.361965602294902</v>
      </c>
      <c r="P203" s="37">
        <f>Input!S79</f>
        <v>71.339113022467018</v>
      </c>
      <c r="Q203" s="37">
        <f>Input!T79</f>
        <v>76.689546499152044</v>
      </c>
    </row>
    <row r="204" spans="2:17" x14ac:dyDescent="0.2">
      <c r="B204" s="1" t="s">
        <v>205</v>
      </c>
      <c r="C204" s="36"/>
      <c r="D204" s="36"/>
      <c r="E204" s="36"/>
      <c r="F204" s="36"/>
      <c r="G204" s="36"/>
      <c r="H204" s="37">
        <f>Input!K80</f>
        <v>0</v>
      </c>
      <c r="I204" s="37">
        <f>Input!L80</f>
        <v>0</v>
      </c>
      <c r="J204" s="37">
        <f>Input!M80</f>
        <v>0</v>
      </c>
      <c r="K204" s="37">
        <f>Input!N80</f>
        <v>0</v>
      </c>
      <c r="L204" s="37">
        <f>Input!O80</f>
        <v>0</v>
      </c>
      <c r="M204" s="37">
        <f>Input!P80</f>
        <v>0</v>
      </c>
      <c r="N204" s="37">
        <f>Input!Q80</f>
        <v>0</v>
      </c>
      <c r="O204" s="37">
        <f>Input!R80</f>
        <v>0</v>
      </c>
      <c r="P204" s="37">
        <f>Input!S80</f>
        <v>0</v>
      </c>
      <c r="Q204" s="37">
        <f>Input!T80</f>
        <v>0</v>
      </c>
    </row>
    <row r="205" spans="2:17" x14ac:dyDescent="0.2">
      <c r="B205" s="1" t="s">
        <v>206</v>
      </c>
      <c r="C205" s="36"/>
      <c r="D205" s="224">
        <v>2.2999999999999998</v>
      </c>
      <c r="E205" s="224">
        <v>3.3</v>
      </c>
      <c r="F205" s="224">
        <v>1.17</v>
      </c>
      <c r="G205" s="224">
        <v>2.56</v>
      </c>
      <c r="H205" s="225">
        <f>Input!K81</f>
        <v>1.5</v>
      </c>
      <c r="I205" s="225">
        <f>Input!L81</f>
        <v>2.5</v>
      </c>
      <c r="J205" s="225">
        <f>Input!M81</f>
        <v>2.5</v>
      </c>
      <c r="K205" s="225">
        <f>Input!N81</f>
        <v>1.5</v>
      </c>
      <c r="L205" s="225">
        <f>Input!O81</f>
        <v>2.5</v>
      </c>
      <c r="M205" s="225">
        <f>Input!P81</f>
        <v>2.5</v>
      </c>
      <c r="N205" s="225">
        <f>Input!Q81</f>
        <v>1.5</v>
      </c>
      <c r="O205" s="225">
        <f>Input!R81</f>
        <v>2</v>
      </c>
      <c r="P205" s="225">
        <f>Input!S81</f>
        <v>2</v>
      </c>
      <c r="Q205" s="225">
        <f>Input!T81</f>
        <v>1.5</v>
      </c>
    </row>
    <row r="207" spans="2:17" x14ac:dyDescent="0.2">
      <c r="B207" s="50" t="s">
        <v>207</v>
      </c>
      <c r="C207" s="153">
        <v>8.5559999999999997E-2</v>
      </c>
      <c r="D207" s="153">
        <v>0.121534</v>
      </c>
      <c r="E207" s="153">
        <v>0.19628899999999999</v>
      </c>
      <c r="F207" s="153">
        <v>0.19193499999999999</v>
      </c>
      <c r="G207" s="153">
        <v>0.15532899999999999</v>
      </c>
      <c r="H207" s="153">
        <f>H19*(1-H29)/(H71+H72+H69-H89+H73)</f>
        <v>5.9206440358897487E-2</v>
      </c>
      <c r="I207" s="153">
        <f t="shared" ref="I207:Q207" si="128">I19*(1-I29)/(I71+I72+I69-I89+I73)</f>
        <v>6.818420639786725E-2</v>
      </c>
      <c r="J207" s="153">
        <f t="shared" si="128"/>
        <v>7.7585927188668219E-2</v>
      </c>
      <c r="K207" s="153">
        <f t="shared" si="128"/>
        <v>7.761157276423912E-2</v>
      </c>
      <c r="L207" s="153">
        <f t="shared" si="128"/>
        <v>8.3281742244677853E-2</v>
      </c>
      <c r="M207" s="153">
        <f t="shared" si="128"/>
        <v>8.6324164694312144E-2</v>
      </c>
      <c r="N207" s="153">
        <f t="shared" si="128"/>
        <v>8.5725890100115942E-2</v>
      </c>
      <c r="O207" s="153">
        <f t="shared" si="128"/>
        <v>8.8508472027670759E-2</v>
      </c>
      <c r="P207" s="153">
        <f t="shared" si="128"/>
        <v>8.8462171875769255E-2</v>
      </c>
      <c r="Q207" s="153">
        <f t="shared" si="128"/>
        <v>9.1276149924477981E-2</v>
      </c>
    </row>
    <row r="208" spans="2:17" x14ac:dyDescent="0.2">
      <c r="B208" s="50" t="s">
        <v>208</v>
      </c>
      <c r="C208" s="153">
        <v>9.1337000000000002E-2</v>
      </c>
      <c r="D208" s="153">
        <v>0.13933400000000001</v>
      </c>
      <c r="E208" s="153">
        <v>0.23224400000000001</v>
      </c>
      <c r="F208" s="153">
        <v>0.209283</v>
      </c>
      <c r="G208" s="153">
        <v>0.15717900000000001</v>
      </c>
      <c r="H208" s="153">
        <f t="shared" ref="H208:Q208" si="129">H28/H105</f>
        <v>8.4416036578132805E-2</v>
      </c>
      <c r="I208" s="153">
        <f t="shared" si="129"/>
        <v>9.5401137381825277E-2</v>
      </c>
      <c r="J208" s="153">
        <f t="shared" si="129"/>
        <v>0.1097497296265396</v>
      </c>
      <c r="K208" s="153">
        <f t="shared" si="129"/>
        <v>0.10949469287796142</v>
      </c>
      <c r="L208" s="153">
        <f t="shared" si="129"/>
        <v>0.11191194847704417</v>
      </c>
      <c r="M208" s="153">
        <f t="shared" si="129"/>
        <v>0.11253192433272002</v>
      </c>
      <c r="N208" s="153">
        <f t="shared" si="129"/>
        <v>0.11176457681652002</v>
      </c>
      <c r="O208" s="153">
        <f t="shared" si="129"/>
        <v>0.10809077021997297</v>
      </c>
      <c r="P208" s="153">
        <f t="shared" si="129"/>
        <v>0.10831143634274844</v>
      </c>
      <c r="Q208" s="153">
        <f t="shared" si="129"/>
        <v>0.10464753725413881</v>
      </c>
    </row>
    <row r="210" spans="2:17" x14ac:dyDescent="0.2">
      <c r="B210" s="50" t="s">
        <v>209</v>
      </c>
      <c r="C210" s="50"/>
      <c r="D210" s="50"/>
      <c r="E210" s="50"/>
      <c r="F210" s="50"/>
      <c r="G210" s="50"/>
      <c r="H210" s="235">
        <f>Summary!$L$7/H40</f>
        <v>24.836809977801156</v>
      </c>
      <c r="I210" s="235">
        <f>Summary!$L$7/I40</f>
        <v>19.924969413384915</v>
      </c>
      <c r="J210" s="235">
        <f>Summary!$L$7/J40</f>
        <v>15.732737679151649</v>
      </c>
      <c r="K210" s="235">
        <f>Summary!$L$7/K40</f>
        <v>14.050240431057343</v>
      </c>
      <c r="L210" s="235">
        <f>Summary!$L$7/L40</f>
        <v>12.283212348239763</v>
      </c>
      <c r="M210" s="235">
        <f>Summary!$L$7/M40</f>
        <v>10.913682803032769</v>
      </c>
      <c r="N210" s="235">
        <f>Summary!$L$7/N40</f>
        <v>9.7046372105491763</v>
      </c>
      <c r="O210" s="235">
        <f>Summary!$L$7/O40</f>
        <v>8.9568995069128849</v>
      </c>
      <c r="P210" s="235">
        <f>Summary!$L$7/P40</f>
        <v>7.9194957594304398</v>
      </c>
      <c r="Q210" s="235">
        <f>Summary!$L$7/Q40</f>
        <v>7.3206593753174083</v>
      </c>
    </row>
    <row r="211" spans="2:17" x14ac:dyDescent="0.2">
      <c r="B211" s="50" t="s">
        <v>210</v>
      </c>
      <c r="C211" s="50"/>
      <c r="D211" s="50"/>
      <c r="E211" s="50"/>
      <c r="F211" s="50"/>
      <c r="G211" s="50"/>
      <c r="H211" s="235">
        <f>Summary!$L$7/H41</f>
        <v>25.000210043444589</v>
      </c>
      <c r="I211" s="235">
        <f>Summary!$L$7/I41</f>
        <v>20.06167589306509</v>
      </c>
      <c r="J211" s="235">
        <f>Summary!$L$7/J41</f>
        <v>15.845517160722631</v>
      </c>
      <c r="K211" s="235">
        <f>Summary!$L$7/K41</f>
        <v>14.153741281378208</v>
      </c>
      <c r="L211" s="235">
        <f>Summary!$L$7/L41</f>
        <v>12.378063408843936</v>
      </c>
      <c r="M211" s="235">
        <f>Summary!$L$7/M41</f>
        <v>11.002231953564477</v>
      </c>
      <c r="N211" s="235">
        <f>Summary!$L$7/N41</f>
        <v>9.7858475637755298</v>
      </c>
      <c r="O211" s="235">
        <f>Summary!$L$7/O41</f>
        <v>9.0351257034798103</v>
      </c>
      <c r="P211" s="235">
        <f>Summary!$L$7/P41</f>
        <v>7.9918199216170205</v>
      </c>
      <c r="Q211" s="235">
        <f>Summary!$L$7/Q41</f>
        <v>7.3898854687010251</v>
      </c>
    </row>
    <row r="212" spans="2:17" x14ac:dyDescent="0.2">
      <c r="B212" s="50" t="s">
        <v>211</v>
      </c>
      <c r="C212" s="50"/>
      <c r="D212" s="50"/>
      <c r="E212" s="50"/>
      <c r="F212" s="50"/>
      <c r="G212" s="50"/>
      <c r="H212" s="235">
        <f>(Summary!$L$7*Model!H202+Model!H110+Model!H99)/Model!H34</f>
        <v>13.908042979436273</v>
      </c>
      <c r="I212" s="235">
        <f>(Summary!$L$7*Model!I202+Model!I110+Model!I99)/Model!I34</f>
        <v>11.953102318227684</v>
      </c>
      <c r="J212" s="235">
        <f>(Summary!$L$7*Model!J202+Model!J110+Model!J99)/Model!J34</f>
        <v>10.298631776192021</v>
      </c>
      <c r="K212" s="235">
        <f>(Summary!$L$7*Model!K202+Model!K110+Model!K99)/Model!K34</f>
        <v>9.7061339217280533</v>
      </c>
      <c r="L212" s="235">
        <f>(Summary!$L$7*Model!L202+Model!L110+Model!L99)/Model!L34</f>
        <v>8.6099720637097885</v>
      </c>
      <c r="M212" s="235">
        <f>(Summary!$L$7*Model!M202+Model!M110+Model!M99)/Model!M34</f>
        <v>7.7948422843249041</v>
      </c>
      <c r="N212" s="235">
        <f>(Summary!$L$7*Model!N202+Model!N110+Model!N99)/Model!N34</f>
        <v>7.2681174962550967</v>
      </c>
      <c r="O212" s="235">
        <f>(Summary!$L$7*Model!O202+Model!O110+Model!O99)/Model!O34</f>
        <v>6.5204923879816876</v>
      </c>
      <c r="P212" s="235">
        <f>(Summary!$L$7*Model!P202+Model!P110+Model!P99)/Model!P34</f>
        <v>6.0107757062964025</v>
      </c>
      <c r="Q212" s="235">
        <f>(Summary!$L$7*Model!Q202+Model!Q110+Model!Q99)/Model!Q34</f>
        <v>5.3093452825375023</v>
      </c>
    </row>
    <row r="214" spans="2:17" x14ac:dyDescent="0.2">
      <c r="B214" s="50" t="s">
        <v>212</v>
      </c>
      <c r="C214" s="50"/>
      <c r="D214" s="50"/>
      <c r="E214" s="50"/>
      <c r="F214" s="50"/>
      <c r="G214" s="50"/>
      <c r="H214" s="235">
        <f>(Input!K94*(1+(1-Input!K94)*Model!H208)/(DCF!$F$12-(1-Input!K94)*Model!H208))</f>
        <v>18.654876706228414</v>
      </c>
      <c r="I214" s="235">
        <f>(Input!L94*(1+(1-Input!L94)*Model!I208)/(DCF!$F$12-(1-Input!L94)*Model!I208))</f>
        <v>34.25648733250685</v>
      </c>
      <c r="J214" s="235">
        <f>(Input!M94*(1+(1-Input!M94)*Model!J208)/(DCF!$F$12-(1-Input!M94)*Model!J208))</f>
        <v>41.49998878750668</v>
      </c>
      <c r="K214" s="235">
        <f>(Input!N94*(1+(1-Input!N94)*Model!K208)/(DCF!$F$12-(1-Input!N94)*Model!K208))</f>
        <v>75.715821595715468</v>
      </c>
      <c r="L214" s="235">
        <f>(Input!O94*(1+(1-Input!O94)*Model!L208)/(DCF!$F$12-(1-Input!O94)*Model!L208))</f>
        <v>-146.0324144522244</v>
      </c>
      <c r="M214" s="235">
        <f>(Input!P94*(1+(1-Input!P94)*Model!M208)/(DCF!$F$12-(1-Input!P94)*Model!M208))</f>
        <v>-122.15951280278203</v>
      </c>
      <c r="N214" s="235">
        <f>(Input!Q94*(1+(1-Input!Q94)*Model!N208)/(DCF!$F$12-(1-Input!Q94)*Model!N208))</f>
        <v>-153.15030458446856</v>
      </c>
      <c r="O214" s="235">
        <f>(Input!R94*(1+(1-Input!R94)*Model!O208)/(DCF!$F$12-(1-Input!R94)*Model!O208))</f>
        <v>702.20229194904414</v>
      </c>
      <c r="P214" s="235">
        <f>(Input!S94*(1+(1-Input!S94)*Model!P208)/(DCF!$F$12-(1-Input!S94)*Model!P208))</f>
        <v>1057.8814142172157</v>
      </c>
      <c r="Q214" s="235">
        <f>(Input!T94*(1+(1-Input!T94)*Model!Q208)/(DCF!$F$12-(1-Input!T94)*Model!Q208))</f>
        <v>112.19394956434769</v>
      </c>
    </row>
  </sheetData>
  <conditionalFormatting sqref="C108:Q108">
    <cfRule type="cellIs" dxfId="7" priority="3" operator="notEqual">
      <formula>0</formula>
    </cfRule>
  </conditionalFormatting>
  <conditionalFormatting sqref="C183:Q183">
    <cfRule type="cellIs" dxfId="6" priority="2" operator="notEqual">
      <formula>0</formula>
    </cfRule>
  </conditionalFormatting>
  <conditionalFormatting sqref="H181:Q181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584D-7943-4BFF-955C-707D435BA857}">
  <dimension ref="A1:T73"/>
  <sheetViews>
    <sheetView zoomScaleNormal="100" workbookViewId="0">
      <selection activeCell="I51" sqref="I51"/>
    </sheetView>
  </sheetViews>
  <sheetFormatPr baseColWidth="10" defaultColWidth="9.33203125" defaultRowHeight="15" x14ac:dyDescent="0.2"/>
  <cols>
    <col min="1" max="1" width="9.33203125" style="12"/>
    <col min="2" max="2" width="9.83203125" style="12" customWidth="1"/>
    <col min="3" max="3" width="51.83203125" style="12" customWidth="1"/>
    <col min="4" max="4" width="9.33203125" style="12" bestFit="1" customWidth="1"/>
    <col min="5" max="5" width="10.1640625" style="12" bestFit="1" customWidth="1"/>
    <col min="6" max="6" width="11" style="12" bestFit="1" customWidth="1"/>
    <col min="7" max="8" width="10.1640625" style="12" bestFit="1" customWidth="1"/>
    <col min="9" max="9" width="13.6640625" style="12" bestFit="1" customWidth="1"/>
    <col min="10" max="14" width="10.1640625" style="12" bestFit="1" customWidth="1"/>
    <col min="15" max="17" width="11.1640625" style="12" bestFit="1" customWidth="1"/>
    <col min="18" max="18" width="11.83203125" style="12" bestFit="1" customWidth="1"/>
    <col min="19" max="16384" width="9.33203125" style="12"/>
  </cols>
  <sheetData>
    <row r="1" spans="1:18" x14ac:dyDescent="0.2">
      <c r="A1" s="1" t="str">
        <f>Input!$A$5</f>
        <v>Last Edit:</v>
      </c>
      <c r="C1" s="202">
        <f ca="1">Input!$B$5</f>
        <v>46156</v>
      </c>
    </row>
    <row r="4" spans="1:18" x14ac:dyDescent="0.2">
      <c r="C4" s="12" t="str">
        <f>Input!C7</f>
        <v>In Millions of USD</v>
      </c>
    </row>
    <row r="5" spans="1:18" x14ac:dyDescent="0.2">
      <c r="C5" s="9" t="s">
        <v>35</v>
      </c>
      <c r="D5" s="9" t="str">
        <f>Input!F7</f>
        <v>FY2021</v>
      </c>
      <c r="E5" s="9" t="str">
        <f>Input!G7</f>
        <v>FY2022</v>
      </c>
      <c r="F5" s="9" t="str">
        <f>Input!H7</f>
        <v>FY2023</v>
      </c>
      <c r="G5" s="9" t="str">
        <f>Input!I7</f>
        <v>FY2024</v>
      </c>
      <c r="H5" s="9" t="str">
        <f>Input!J7</f>
        <v>FY2025</v>
      </c>
      <c r="I5" s="10" t="str">
        <f>Input!K7</f>
        <v>FY2026 E</v>
      </c>
      <c r="J5" s="10" t="str">
        <f>Input!L7</f>
        <v>FY2027 E</v>
      </c>
      <c r="K5" s="10" t="str">
        <f>Input!M7</f>
        <v>FY2028 E</v>
      </c>
      <c r="L5" s="10" t="str">
        <f>Input!N7</f>
        <v>FY2029 E</v>
      </c>
      <c r="M5" s="10" t="str">
        <f>Input!O7</f>
        <v>FY2030 E</v>
      </c>
      <c r="N5" s="10" t="str">
        <f>Input!P7</f>
        <v>FY2031 E</v>
      </c>
      <c r="O5" s="10" t="str">
        <f>Input!Q7</f>
        <v>FY2032 E</v>
      </c>
      <c r="P5" s="10" t="str">
        <f>Input!R7</f>
        <v>FY2033 E</v>
      </c>
      <c r="Q5" s="10" t="str">
        <f>Input!S7</f>
        <v>FY2034 E</v>
      </c>
      <c r="R5" s="10" t="str">
        <f>Input!T7</f>
        <v>FY2035 E</v>
      </c>
    </row>
    <row r="6" spans="1:18" x14ac:dyDescent="0.2">
      <c r="C6" s="17" t="s">
        <v>213</v>
      </c>
    </row>
    <row r="7" spans="1:18" x14ac:dyDescent="0.2">
      <c r="C7" s="154" t="s">
        <v>297</v>
      </c>
      <c r="D7" s="36">
        <v>3346.5</v>
      </c>
      <c r="E7" s="36">
        <v>4095.9</v>
      </c>
      <c r="F7" s="36">
        <v>4089.4</v>
      </c>
      <c r="G7" s="36">
        <v>4059.2</v>
      </c>
      <c r="H7" s="36">
        <v>4126</v>
      </c>
      <c r="I7" s="51">
        <f>H7*(1+I17)</f>
        <v>4208.5200000000004</v>
      </c>
      <c r="J7" s="51">
        <f t="shared" ref="J7:R7" si="0">I7*(1+J17)</f>
        <v>4292.6904000000004</v>
      </c>
      <c r="K7" s="51">
        <f t="shared" si="0"/>
        <v>4357.0807560000003</v>
      </c>
      <c r="L7" s="51">
        <f t="shared" si="0"/>
        <v>4422.4369673399997</v>
      </c>
      <c r="M7" s="51">
        <f t="shared" si="0"/>
        <v>4466.6613370134</v>
      </c>
      <c r="N7" s="51">
        <f t="shared" si="0"/>
        <v>4511.3279503835338</v>
      </c>
      <c r="O7" s="51">
        <f t="shared" si="0"/>
        <v>4556.4412298873694</v>
      </c>
      <c r="P7" s="51">
        <f t="shared" si="0"/>
        <v>4602.0056421862428</v>
      </c>
      <c r="Q7" s="51">
        <f t="shared" si="0"/>
        <v>4648.0256986081049</v>
      </c>
      <c r="R7" s="51">
        <f t="shared" si="0"/>
        <v>4694.5059555941862</v>
      </c>
    </row>
    <row r="8" spans="1:18" x14ac:dyDescent="0.2">
      <c r="C8" s="154" t="s">
        <v>298</v>
      </c>
      <c r="D8" s="36">
        <v>987.1</v>
      </c>
      <c r="E8" s="36">
        <v>1445.2</v>
      </c>
      <c r="F8" s="36">
        <v>1526.7</v>
      </c>
      <c r="G8" s="36">
        <v>1554.3</v>
      </c>
      <c r="H8" s="36">
        <v>1618.6</v>
      </c>
      <c r="I8" s="51">
        <f>H8*(1+I18)</f>
        <v>1683.3440000000001</v>
      </c>
      <c r="J8" s="51">
        <f t="shared" ref="J8:R8" si="1">I8*(1+J18)</f>
        <v>1750.67776</v>
      </c>
      <c r="K8" s="51">
        <f t="shared" si="1"/>
        <v>1820.7048704000001</v>
      </c>
      <c r="L8" s="51">
        <f t="shared" si="1"/>
        <v>1875.3260165120003</v>
      </c>
      <c r="M8" s="51">
        <f t="shared" si="1"/>
        <v>1931.5857970073603</v>
      </c>
      <c r="N8" s="51">
        <f t="shared" si="1"/>
        <v>1989.5333709175811</v>
      </c>
      <c r="O8" s="51">
        <f t="shared" si="1"/>
        <v>2049.2193720451087</v>
      </c>
      <c r="P8" s="51">
        <f t="shared" si="1"/>
        <v>2090.2037594860108</v>
      </c>
      <c r="Q8" s="51">
        <f t="shared" si="1"/>
        <v>2132.0078346757309</v>
      </c>
      <c r="R8" s="51">
        <f t="shared" si="1"/>
        <v>2174.6479913692456</v>
      </c>
    </row>
    <row r="9" spans="1:18" x14ac:dyDescent="0.2">
      <c r="C9" s="154" t="s">
        <v>299</v>
      </c>
      <c r="D9" s="36">
        <v>836.4</v>
      </c>
      <c r="E9" s="36">
        <v>834.7</v>
      </c>
      <c r="F9" s="36">
        <v>880.4</v>
      </c>
      <c r="G9" s="36">
        <v>904.1</v>
      </c>
      <c r="H9" s="36">
        <v>922</v>
      </c>
      <c r="I9" s="51">
        <f>H9*(1+I19)</f>
        <v>940.44</v>
      </c>
      <c r="J9" s="51">
        <f t="shared" ref="J9:R9" si="2">I9*(1+J19)</f>
        <v>959.24880000000007</v>
      </c>
      <c r="K9" s="51">
        <f t="shared" si="2"/>
        <v>978.43377600000008</v>
      </c>
      <c r="L9" s="51">
        <f t="shared" si="2"/>
        <v>998.00245152000014</v>
      </c>
      <c r="M9" s="51">
        <f t="shared" si="2"/>
        <v>1017.9625005504001</v>
      </c>
      <c r="N9" s="51">
        <f t="shared" si="2"/>
        <v>1038.3217505614082</v>
      </c>
      <c r="O9" s="51">
        <f t="shared" si="2"/>
        <v>1059.0881855726363</v>
      </c>
      <c r="P9" s="51">
        <f t="shared" si="2"/>
        <v>1080.2699492840891</v>
      </c>
      <c r="Q9" s="51">
        <f t="shared" si="2"/>
        <v>1101.8753482697709</v>
      </c>
      <c r="R9" s="51">
        <f t="shared" si="2"/>
        <v>1123.9128552351665</v>
      </c>
    </row>
    <row r="10" spans="1:18" x14ac:dyDescent="0.2">
      <c r="C10" s="154" t="s">
        <v>300</v>
      </c>
      <c r="D10" s="36">
        <v>668.8</v>
      </c>
      <c r="E10" s="36">
        <v>804</v>
      </c>
      <c r="F10" s="36">
        <v>925.7</v>
      </c>
      <c r="G10" s="36">
        <v>1032.5999999999999</v>
      </c>
      <c r="H10" s="36">
        <v>1118.7</v>
      </c>
      <c r="I10" s="51">
        <f>H10*(1+I20)</f>
        <v>1197.009</v>
      </c>
      <c r="J10" s="51">
        <f t="shared" ref="J10:R10" si="3">I10*(1+J20)</f>
        <v>1280.79963</v>
      </c>
      <c r="K10" s="51">
        <f t="shared" si="3"/>
        <v>1357.6476078000001</v>
      </c>
      <c r="L10" s="51">
        <f t="shared" si="3"/>
        <v>1439.1064642680001</v>
      </c>
      <c r="M10" s="51">
        <f t="shared" si="3"/>
        <v>1511.0617874814002</v>
      </c>
      <c r="N10" s="51">
        <f t="shared" si="3"/>
        <v>1586.6148768554704</v>
      </c>
      <c r="O10" s="51">
        <f t="shared" si="3"/>
        <v>1650.0794719296891</v>
      </c>
      <c r="P10" s="51">
        <f t="shared" si="3"/>
        <v>1699.5818560875798</v>
      </c>
      <c r="Q10" s="51">
        <f t="shared" si="3"/>
        <v>1750.5693117702072</v>
      </c>
      <c r="R10" s="51">
        <f t="shared" si="3"/>
        <v>1803.0863911233134</v>
      </c>
    </row>
    <row r="11" spans="1:18" x14ac:dyDescent="0.2">
      <c r="C11" s="154" t="s">
        <v>301</v>
      </c>
      <c r="D11" s="36">
        <v>534</v>
      </c>
      <c r="E11" s="36">
        <v>626.79999999999995</v>
      </c>
      <c r="F11" s="36">
        <v>674.2</v>
      </c>
      <c r="G11" s="36">
        <v>809.2</v>
      </c>
      <c r="H11" s="36">
        <v>960.6</v>
      </c>
      <c r="I11" s="51">
        <f>H11*(1+I21)</f>
        <v>1133.508</v>
      </c>
      <c r="J11" s="51">
        <f t="shared" ref="J11:R11" si="4">I11*(1+J21)</f>
        <v>1314.8692799999999</v>
      </c>
      <c r="K11" s="51">
        <f t="shared" si="4"/>
        <v>1498.9509792000001</v>
      </c>
      <c r="L11" s="51">
        <f t="shared" si="4"/>
        <v>1678.8250967040003</v>
      </c>
      <c r="M11" s="51">
        <f t="shared" si="4"/>
        <v>1846.7076063744005</v>
      </c>
      <c r="N11" s="51">
        <f t="shared" si="4"/>
        <v>1994.4442148843527</v>
      </c>
      <c r="O11" s="51">
        <f t="shared" si="4"/>
        <v>2153.9997520751012</v>
      </c>
      <c r="P11" s="51">
        <f t="shared" si="4"/>
        <v>2283.2397371996076</v>
      </c>
      <c r="Q11" s="51">
        <f t="shared" si="4"/>
        <v>2420.2341214315843</v>
      </c>
      <c r="R11" s="51">
        <f t="shared" si="4"/>
        <v>2565.4481687174793</v>
      </c>
    </row>
    <row r="12" spans="1:18" x14ac:dyDescent="0.2">
      <c r="C12" s="154" t="s">
        <v>413</v>
      </c>
      <c r="D12" s="36"/>
      <c r="E12" s="36"/>
      <c r="F12" s="36"/>
      <c r="G12" s="36"/>
      <c r="H12" s="36"/>
      <c r="I12" s="51">
        <f>H12*(1+I22)+'Acquisition related'!E10</f>
        <v>125</v>
      </c>
      <c r="J12" s="51">
        <f>I12*(1+J22)+'Acquisition related'!F10</f>
        <v>143.75</v>
      </c>
      <c r="K12" s="51">
        <f>J12*(1+K22)+'Acquisition related'!G10</f>
        <v>165.3125</v>
      </c>
      <c r="L12" s="51">
        <f>K12*(1+L22)+'Acquisition related'!H10</f>
        <v>350.109375</v>
      </c>
      <c r="M12" s="51">
        <f>L12*(1+M22)+'Acquisition related'!I10</f>
        <v>402.62578124999999</v>
      </c>
      <c r="N12" s="51">
        <f>M12*(1+N22)+'Acquisition related'!J10</f>
        <v>442.88835937500005</v>
      </c>
      <c r="O12" s="51">
        <f>N12*(1+O22)+'Acquisition related'!K10</f>
        <v>687.17719531250009</v>
      </c>
      <c r="P12" s="51">
        <f>O12*(1+P22)+'Acquisition related'!L10</f>
        <v>755.89491484375014</v>
      </c>
      <c r="Q12" s="51">
        <f>P12*(1+Q22)+'Acquisition related'!M10</f>
        <v>991.48440632812526</v>
      </c>
      <c r="R12" s="51">
        <f>Q12*(1+R22)+'Acquisition related'!N10</f>
        <v>1090.632846960938</v>
      </c>
    </row>
    <row r="13" spans="1:18" x14ac:dyDescent="0.2">
      <c r="C13" s="155" t="s">
        <v>214</v>
      </c>
      <c r="D13" s="155">
        <f>SUM(D7:D11)</f>
        <v>6372.8</v>
      </c>
      <c r="E13" s="155">
        <f t="shared" ref="E13:H13" si="5">SUM(E7:E11)</f>
        <v>7806.6</v>
      </c>
      <c r="F13" s="155">
        <f t="shared" si="5"/>
        <v>8096.4</v>
      </c>
      <c r="G13" s="155">
        <f t="shared" si="5"/>
        <v>8359.4000000000015</v>
      </c>
      <c r="H13" s="155">
        <f t="shared" si="5"/>
        <v>8745.9</v>
      </c>
      <c r="I13" s="155">
        <f>SUM(I7:I12)</f>
        <v>9287.8209999999999</v>
      </c>
      <c r="J13" s="155">
        <f t="shared" ref="J13:R13" si="6">SUM(J7:J12)</f>
        <v>9742.0358699999997</v>
      </c>
      <c r="K13" s="155">
        <f t="shared" si="6"/>
        <v>10178.1304894</v>
      </c>
      <c r="L13" s="155">
        <f t="shared" si="6"/>
        <v>10763.806371344001</v>
      </c>
      <c r="M13" s="155">
        <f t="shared" si="6"/>
        <v>11176.604809676963</v>
      </c>
      <c r="N13" s="155">
        <f t="shared" si="6"/>
        <v>11563.130522977346</v>
      </c>
      <c r="O13" s="155">
        <f t="shared" si="6"/>
        <v>12156.005206822405</v>
      </c>
      <c r="P13" s="155">
        <f t="shared" si="6"/>
        <v>12511.195859087278</v>
      </c>
      <c r="Q13" s="155">
        <f t="shared" si="6"/>
        <v>13044.196721083523</v>
      </c>
      <c r="R13" s="155">
        <f t="shared" si="6"/>
        <v>13452.234209000329</v>
      </c>
    </row>
    <row r="14" spans="1:18" s="246" customFormat="1" ht="11" x14ac:dyDescent="0.15">
      <c r="C14" s="248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</row>
    <row r="16" spans="1:18" x14ac:dyDescent="0.2">
      <c r="C16" s="17" t="s">
        <v>215</v>
      </c>
    </row>
    <row r="17" spans="3:18" x14ac:dyDescent="0.2">
      <c r="C17" s="15" t="str">
        <f>C7</f>
        <v>Business &amp; Industry</v>
      </c>
      <c r="E17" s="18">
        <f t="shared" ref="E17:H17" si="7">E7/D7-1</f>
        <v>0.22393545495293599</v>
      </c>
      <c r="F17" s="18">
        <f t="shared" si="7"/>
        <v>-1.5869528064650362E-3</v>
      </c>
      <c r="G17" s="18">
        <f t="shared" si="7"/>
        <v>-7.3849464469115667E-3</v>
      </c>
      <c r="H17" s="18">
        <f t="shared" si="7"/>
        <v>1.6456444619629584E-2</v>
      </c>
      <c r="I17" s="42">
        <v>0.02</v>
      </c>
      <c r="J17" s="42">
        <f>I17</f>
        <v>0.02</v>
      </c>
      <c r="K17" s="42">
        <v>1.4999999999999999E-2</v>
      </c>
      <c r="L17" s="42">
        <f t="shared" ref="L17:R17" si="8">K17</f>
        <v>1.4999999999999999E-2</v>
      </c>
      <c r="M17" s="42">
        <v>0.01</v>
      </c>
      <c r="N17" s="42">
        <f t="shared" si="8"/>
        <v>0.01</v>
      </c>
      <c r="O17" s="42">
        <f t="shared" si="8"/>
        <v>0.01</v>
      </c>
      <c r="P17" s="42">
        <f t="shared" si="8"/>
        <v>0.01</v>
      </c>
      <c r="Q17" s="42">
        <f t="shared" si="8"/>
        <v>0.01</v>
      </c>
      <c r="R17" s="42">
        <f t="shared" si="8"/>
        <v>0.01</v>
      </c>
    </row>
    <row r="18" spans="3:18" x14ac:dyDescent="0.2">
      <c r="C18" s="15" t="str">
        <f>C8</f>
        <v>Manufacturing &amp; Distribution</v>
      </c>
      <c r="E18" s="18">
        <f t="shared" ref="E18:H21" si="9">E8/D8-1</f>
        <v>0.46408671867085394</v>
      </c>
      <c r="F18" s="18">
        <f t="shared" si="9"/>
        <v>5.6393578743426431E-2</v>
      </c>
      <c r="G18" s="18">
        <f t="shared" si="9"/>
        <v>1.8078207899390852E-2</v>
      </c>
      <c r="H18" s="18">
        <f t="shared" si="9"/>
        <v>4.1369105063372658E-2</v>
      </c>
      <c r="I18" s="42">
        <v>0.04</v>
      </c>
      <c r="J18" s="42">
        <v>0.04</v>
      </c>
      <c r="K18" s="42">
        <v>0.04</v>
      </c>
      <c r="L18" s="42">
        <v>0.03</v>
      </c>
      <c r="M18" s="42">
        <v>0.03</v>
      </c>
      <c r="N18" s="42">
        <v>0.03</v>
      </c>
      <c r="O18" s="42">
        <v>0.03</v>
      </c>
      <c r="P18" s="42">
        <v>0.02</v>
      </c>
      <c r="Q18" s="42">
        <v>0.02</v>
      </c>
      <c r="R18" s="42">
        <v>0.02</v>
      </c>
    </row>
    <row r="19" spans="3:18" x14ac:dyDescent="0.2">
      <c r="C19" s="15" t="str">
        <f>C9</f>
        <v>Education</v>
      </c>
      <c r="E19" s="18">
        <f t="shared" si="9"/>
        <v>-2.0325203252031798E-3</v>
      </c>
      <c r="F19" s="18">
        <f t="shared" si="9"/>
        <v>5.475020965616384E-2</v>
      </c>
      <c r="G19" s="18">
        <f t="shared" si="9"/>
        <v>2.6919582008178233E-2</v>
      </c>
      <c r="H19" s="18">
        <f t="shared" si="9"/>
        <v>1.979869483464225E-2</v>
      </c>
      <c r="I19" s="42">
        <v>0.02</v>
      </c>
      <c r="J19" s="42">
        <v>0.02</v>
      </c>
      <c r="K19" s="42">
        <v>0.02</v>
      </c>
      <c r="L19" s="42">
        <v>0.02</v>
      </c>
      <c r="M19" s="42">
        <v>0.02</v>
      </c>
      <c r="N19" s="42">
        <v>0.02</v>
      </c>
      <c r="O19" s="42">
        <v>0.02</v>
      </c>
      <c r="P19" s="42">
        <v>0.02</v>
      </c>
      <c r="Q19" s="42">
        <v>0.02</v>
      </c>
      <c r="R19" s="42">
        <v>0.02</v>
      </c>
    </row>
    <row r="20" spans="3:18" x14ac:dyDescent="0.2">
      <c r="C20" s="15" t="str">
        <f>C10</f>
        <v>Aviation</v>
      </c>
      <c r="E20" s="18">
        <f t="shared" si="9"/>
        <v>0.20215311004784686</v>
      </c>
      <c r="F20" s="18">
        <f t="shared" si="9"/>
        <v>0.15136815920398017</v>
      </c>
      <c r="G20" s="18">
        <f t="shared" si="9"/>
        <v>0.11548017716322767</v>
      </c>
      <c r="H20" s="18">
        <f t="shared" si="9"/>
        <v>8.3381754793724783E-2</v>
      </c>
      <c r="I20" s="296">
        <v>7.0000000000000007E-2</v>
      </c>
      <c r="J20" s="296">
        <v>7.0000000000000007E-2</v>
      </c>
      <c r="K20" s="296">
        <v>0.06</v>
      </c>
      <c r="L20" s="296">
        <v>0.06</v>
      </c>
      <c r="M20" s="296">
        <v>0.05</v>
      </c>
      <c r="N20" s="320">
        <v>0.05</v>
      </c>
      <c r="O20" s="320">
        <v>0.04</v>
      </c>
      <c r="P20" s="320">
        <v>0.03</v>
      </c>
      <c r="Q20" s="320">
        <v>0.03</v>
      </c>
      <c r="R20" s="320">
        <v>0.03</v>
      </c>
    </row>
    <row r="21" spans="3:18" x14ac:dyDescent="0.2">
      <c r="C21" s="15" t="str">
        <f>C11</f>
        <v>Technical Solutions</v>
      </c>
      <c r="E21" s="18">
        <f t="shared" si="9"/>
        <v>0.17378277153558042</v>
      </c>
      <c r="F21" s="18">
        <f t="shared" si="9"/>
        <v>7.5622208040842631E-2</v>
      </c>
      <c r="G21" s="18">
        <f t="shared" si="9"/>
        <v>0.20023731830317404</v>
      </c>
      <c r="H21" s="18">
        <f t="shared" si="9"/>
        <v>0.18709836875926844</v>
      </c>
      <c r="I21" s="288">
        <f>I55</f>
        <v>0.18</v>
      </c>
      <c r="J21" s="288">
        <f t="shared" ref="J21:R21" si="10">J55</f>
        <v>0.16</v>
      </c>
      <c r="K21" s="288">
        <f t="shared" si="10"/>
        <v>0.14000000000000001</v>
      </c>
      <c r="L21" s="288">
        <f t="shared" si="10"/>
        <v>0.12</v>
      </c>
      <c r="M21" s="288">
        <f t="shared" si="10"/>
        <v>0.1</v>
      </c>
      <c r="N21" s="288">
        <f t="shared" si="10"/>
        <v>0.08</v>
      </c>
      <c r="O21" s="288">
        <f t="shared" si="10"/>
        <v>0.08</v>
      </c>
      <c r="P21" s="288">
        <f t="shared" si="10"/>
        <v>0.06</v>
      </c>
      <c r="Q21" s="288">
        <f t="shared" si="10"/>
        <v>0.06</v>
      </c>
      <c r="R21" s="288">
        <f t="shared" si="10"/>
        <v>0.06</v>
      </c>
    </row>
    <row r="22" spans="3:18" x14ac:dyDescent="0.2">
      <c r="C22" s="15" t="s">
        <v>427</v>
      </c>
      <c r="E22" s="18"/>
      <c r="F22" s="18"/>
      <c r="G22" s="18"/>
      <c r="H22" s="18"/>
      <c r="I22" s="42">
        <v>0.15</v>
      </c>
      <c r="J22" s="42">
        <f>I22</f>
        <v>0.15</v>
      </c>
      <c r="K22" s="42">
        <f t="shared" ref="K22:M22" si="11">J22</f>
        <v>0.15</v>
      </c>
      <c r="L22" s="42">
        <f t="shared" si="11"/>
        <v>0.15</v>
      </c>
      <c r="M22" s="42">
        <f t="shared" si="11"/>
        <v>0.15</v>
      </c>
      <c r="N22" s="42">
        <v>0.1</v>
      </c>
      <c r="O22" s="42">
        <f>N22</f>
        <v>0.1</v>
      </c>
      <c r="P22" s="42">
        <f>O22</f>
        <v>0.1</v>
      </c>
      <c r="Q22" s="42">
        <f>P22</f>
        <v>0.1</v>
      </c>
      <c r="R22" s="42">
        <f>Q22</f>
        <v>0.1</v>
      </c>
    </row>
    <row r="23" spans="3:18" x14ac:dyDescent="0.2">
      <c r="C23" s="16" t="s">
        <v>216</v>
      </c>
      <c r="D23" s="16"/>
      <c r="E23" s="19">
        <f t="shared" ref="E23:H23" si="12">E13/D13-1</f>
        <v>0.2249874466482551</v>
      </c>
      <c r="F23" s="19">
        <f t="shared" si="12"/>
        <v>3.7122434862808307E-2</v>
      </c>
      <c r="G23" s="19">
        <f t="shared" si="12"/>
        <v>3.2483572946000905E-2</v>
      </c>
      <c r="H23" s="19">
        <f t="shared" si="12"/>
        <v>4.6235375744670515E-2</v>
      </c>
      <c r="I23" s="19">
        <f t="shared" ref="I23:R23" si="13">I13/H13-1</f>
        <v>6.1962862598474722E-2</v>
      </c>
      <c r="J23" s="19">
        <f t="shared" si="13"/>
        <v>4.8904352269493634E-2</v>
      </c>
      <c r="K23" s="19">
        <f t="shared" si="13"/>
        <v>4.4764218200317618E-2</v>
      </c>
      <c r="L23" s="19">
        <f t="shared" si="13"/>
        <v>5.7542579411214323E-2</v>
      </c>
      <c r="M23" s="19">
        <f t="shared" si="13"/>
        <v>3.8350600530304702E-2</v>
      </c>
      <c r="N23" s="19">
        <f t="shared" si="13"/>
        <v>3.4583464288342691E-2</v>
      </c>
      <c r="O23" s="19">
        <f t="shared" si="13"/>
        <v>5.1272852335874308E-2</v>
      </c>
      <c r="P23" s="19">
        <f t="shared" si="13"/>
        <v>2.9219356706554178E-2</v>
      </c>
      <c r="Q23" s="19">
        <f t="shared" si="13"/>
        <v>4.2601911759626798E-2</v>
      </c>
      <c r="R23" s="19">
        <f t="shared" si="13"/>
        <v>3.1281151046832267E-2</v>
      </c>
    </row>
    <row r="25" spans="3:18" x14ac:dyDescent="0.2">
      <c r="C25" s="17" t="s">
        <v>217</v>
      </c>
    </row>
    <row r="26" spans="3:18" x14ac:dyDescent="0.2">
      <c r="C26" s="15" t="str">
        <f>C17</f>
        <v>Business &amp; Industry</v>
      </c>
      <c r="D26" s="41">
        <f t="shared" ref="D26:G30" si="14">D7/D$13</f>
        <v>0.52512239517951287</v>
      </c>
      <c r="E26" s="41">
        <f t="shared" si="14"/>
        <v>0.52467143186534471</v>
      </c>
      <c r="F26" s="41">
        <f t="shared" si="14"/>
        <v>0.50508868138925944</v>
      </c>
      <c r="G26" s="41">
        <f t="shared" si="14"/>
        <v>0.48558508983898357</v>
      </c>
      <c r="H26" s="41">
        <f>H7/SUM(H$7:H$11)</f>
        <v>0.47176391223316072</v>
      </c>
      <c r="I26" s="41">
        <f t="shared" ref="I26:R26" si="15">I7/SUM(I$7:I$11)</f>
        <v>0.45930396326633471</v>
      </c>
      <c r="J26" s="41">
        <f t="shared" si="15"/>
        <v>0.44723510615755402</v>
      </c>
      <c r="K26" s="41">
        <f t="shared" si="15"/>
        <v>0.43515030040619868</v>
      </c>
      <c r="L26" s="41">
        <f t="shared" si="15"/>
        <v>0.4246750187654405</v>
      </c>
      <c r="M26" s="41">
        <f t="shared" si="15"/>
        <v>0.4145786180971941</v>
      </c>
      <c r="N26" s="41">
        <f t="shared" si="15"/>
        <v>0.40568612481745736</v>
      </c>
      <c r="O26" s="41">
        <f t="shared" si="15"/>
        <v>0.39728917595717794</v>
      </c>
      <c r="P26" s="41">
        <f t="shared" si="15"/>
        <v>0.39148343917471595</v>
      </c>
      <c r="Q26" s="41">
        <f t="shared" si="15"/>
        <v>0.38564147033674834</v>
      </c>
      <c r="R26" s="41">
        <f t="shared" si="15"/>
        <v>0.37976519530959024</v>
      </c>
    </row>
    <row r="27" spans="3:18" x14ac:dyDescent="0.2">
      <c r="C27" s="15" t="str">
        <f>C18</f>
        <v>Manufacturing &amp; Distribution</v>
      </c>
      <c r="D27" s="41">
        <f t="shared" si="14"/>
        <v>0.15489266884258096</v>
      </c>
      <c r="E27" s="41">
        <f t="shared" si="14"/>
        <v>0.18512540670714522</v>
      </c>
      <c r="F27" s="41">
        <f t="shared" si="14"/>
        <v>0.18856528827627095</v>
      </c>
      <c r="G27" s="41">
        <f t="shared" si="14"/>
        <v>0.18593439720554103</v>
      </c>
      <c r="H27" s="41">
        <f>H8/SUM(H$7:H$11)</f>
        <v>0.1850695754582147</v>
      </c>
      <c r="I27" s="41">
        <f t="shared" ref="I27:R27" si="16">I8/SUM(I$7:I$11)</f>
        <v>0.18371460055805958</v>
      </c>
      <c r="J27" s="41">
        <f t="shared" si="16"/>
        <v>0.18239483421428873</v>
      </c>
      <c r="K27" s="41">
        <f t="shared" si="16"/>
        <v>0.18183740804311799</v>
      </c>
      <c r="L27" s="41">
        <f t="shared" si="16"/>
        <v>0.18008263704718722</v>
      </c>
      <c r="M27" s="41">
        <f t="shared" si="16"/>
        <v>0.17928249088947582</v>
      </c>
      <c r="N27" s="41">
        <f t="shared" si="16"/>
        <v>0.17891097528698799</v>
      </c>
      <c r="O27" s="41">
        <f t="shared" si="16"/>
        <v>0.17867731297291667</v>
      </c>
      <c r="P27" s="41">
        <f t="shared" si="16"/>
        <v>0.17780946395162822</v>
      </c>
      <c r="Q27" s="41">
        <f t="shared" si="16"/>
        <v>0.17689029481485627</v>
      </c>
      <c r="R27" s="41">
        <f t="shared" si="16"/>
        <v>0.1759196019738398</v>
      </c>
    </row>
    <row r="28" spans="3:18" x14ac:dyDescent="0.2">
      <c r="C28" s="15" t="str">
        <f>C19</f>
        <v>Education</v>
      </c>
      <c r="D28" s="41">
        <f t="shared" si="14"/>
        <v>0.13124529249309566</v>
      </c>
      <c r="E28" s="41">
        <f t="shared" si="14"/>
        <v>0.10692234775702611</v>
      </c>
      <c r="F28" s="41">
        <f t="shared" si="14"/>
        <v>0.10873968677436886</v>
      </c>
      <c r="G28" s="41">
        <f t="shared" si="14"/>
        <v>0.10815369524128525</v>
      </c>
      <c r="H28" s="41">
        <f>H9/SUM(H$7:H$11)</f>
        <v>0.10542082575835535</v>
      </c>
      <c r="I28" s="41">
        <f t="shared" ref="I28:R28" si="17">I9/SUM(I$7:I$11)</f>
        <v>0.10263651336198755</v>
      </c>
      <c r="J28" s="41">
        <f t="shared" si="17"/>
        <v>9.9939594735158691E-2</v>
      </c>
      <c r="K28" s="41">
        <f t="shared" si="17"/>
        <v>9.7718122614014566E-2</v>
      </c>
      <c r="L28" s="41">
        <f t="shared" si="17"/>
        <v>9.5835556946814837E-2</v>
      </c>
      <c r="M28" s="41">
        <f t="shared" si="17"/>
        <v>9.4483430667956864E-2</v>
      </c>
      <c r="N28" s="41">
        <f t="shared" si="17"/>
        <v>9.3372224748840285E-2</v>
      </c>
      <c r="O28" s="41">
        <f t="shared" si="17"/>
        <v>9.2344935725756375E-2</v>
      </c>
      <c r="P28" s="41">
        <f t="shared" si="17"/>
        <v>9.1896409492866968E-2</v>
      </c>
      <c r="Q28" s="41">
        <f t="shared" si="17"/>
        <v>9.1421359731685664E-2</v>
      </c>
      <c r="R28" s="41">
        <f t="shared" si="17"/>
        <v>9.0919681222412896E-2</v>
      </c>
    </row>
    <row r="29" spans="3:18" x14ac:dyDescent="0.2">
      <c r="C29" s="15" t="str">
        <f>C20</f>
        <v>Aviation</v>
      </c>
      <c r="D29" s="41">
        <f t="shared" si="14"/>
        <v>0.10494602058749686</v>
      </c>
      <c r="E29" s="41">
        <f t="shared" si="14"/>
        <v>0.10298977788025516</v>
      </c>
      <c r="F29" s="41">
        <f t="shared" si="14"/>
        <v>0.11433476606887012</v>
      </c>
      <c r="G29" s="41">
        <f t="shared" si="14"/>
        <v>0.1235256118860205</v>
      </c>
      <c r="H29" s="41">
        <f>H10/SUM(H$7:H$11)</f>
        <v>0.12791136418207388</v>
      </c>
      <c r="I29" s="41">
        <f t="shared" ref="I29:R29" si="18">I10/SUM(I$7:I$11)</f>
        <v>0.13063760603857699</v>
      </c>
      <c r="J29" s="41">
        <f t="shared" si="18"/>
        <v>0.13344045461317355</v>
      </c>
      <c r="K29" s="41">
        <f t="shared" si="18"/>
        <v>0.13559096043064642</v>
      </c>
      <c r="L29" s="41">
        <f t="shared" si="18"/>
        <v>0.13819361796038773</v>
      </c>
      <c r="M29" s="41">
        <f t="shared" si="18"/>
        <v>0.14025104220961346</v>
      </c>
      <c r="N29" s="41">
        <f t="shared" si="18"/>
        <v>0.14267808681798477</v>
      </c>
      <c r="O29" s="41">
        <f t="shared" si="18"/>
        <v>0.14387516058953015</v>
      </c>
      <c r="P29" s="41">
        <f t="shared" si="18"/>
        <v>0.1445800379036532</v>
      </c>
      <c r="Q29" s="41">
        <f t="shared" si="18"/>
        <v>0.1452427691007851</v>
      </c>
      <c r="R29" s="41">
        <f t="shared" si="18"/>
        <v>0.14586187811073725</v>
      </c>
    </row>
    <row r="30" spans="3:18" x14ac:dyDescent="0.2">
      <c r="C30" s="15" t="str">
        <f>C21</f>
        <v>Technical Solutions</v>
      </c>
      <c r="D30" s="41">
        <f t="shared" si="14"/>
        <v>8.3793622897313583E-2</v>
      </c>
      <c r="E30" s="41">
        <f t="shared" si="14"/>
        <v>8.0291035790228768E-2</v>
      </c>
      <c r="F30" s="41">
        <f t="shared" si="14"/>
        <v>8.3271577491230681E-2</v>
      </c>
      <c r="G30" s="41">
        <f t="shared" si="14"/>
        <v>9.6801205828169479E-2</v>
      </c>
      <c r="H30" s="41">
        <f>H11/SUM(H$7:H$11)</f>
        <v>0.10983432236819539</v>
      </c>
      <c r="I30" s="41">
        <f t="shared" ref="I30:R30" si="19">I11/SUM(I$7:I$11)</f>
        <v>0.12370731677504122</v>
      </c>
      <c r="J30" s="41">
        <f t="shared" si="19"/>
        <v>0.1369900102798251</v>
      </c>
      <c r="K30" s="41">
        <f t="shared" si="19"/>
        <v>0.14970320850602239</v>
      </c>
      <c r="L30" s="41">
        <f t="shared" si="19"/>
        <v>0.16121316928016971</v>
      </c>
      <c r="M30" s="41">
        <f t="shared" si="19"/>
        <v>0.17140441813575966</v>
      </c>
      <c r="N30" s="41">
        <f t="shared" si="19"/>
        <v>0.17935258832872958</v>
      </c>
      <c r="O30" s="41">
        <f t="shared" si="19"/>
        <v>0.18781341475461893</v>
      </c>
      <c r="P30" s="41">
        <f t="shared" si="19"/>
        <v>0.19423064947713575</v>
      </c>
      <c r="Q30" s="41">
        <f t="shared" si="19"/>
        <v>0.20080410601592472</v>
      </c>
      <c r="R30" s="41">
        <f t="shared" si="19"/>
        <v>0.20753364338341979</v>
      </c>
    </row>
    <row r="31" spans="3:18" x14ac:dyDescent="0.2">
      <c r="C31" s="16" t="s">
        <v>218</v>
      </c>
      <c r="D31" s="19">
        <f t="shared" ref="D31:R31" si="20">SUM(D26:D30)</f>
        <v>1</v>
      </c>
      <c r="E31" s="19">
        <f t="shared" si="20"/>
        <v>1</v>
      </c>
      <c r="F31" s="19">
        <f t="shared" si="20"/>
        <v>1</v>
      </c>
      <c r="G31" s="19">
        <f t="shared" si="20"/>
        <v>0.99999999999999978</v>
      </c>
      <c r="H31" s="19">
        <f t="shared" si="20"/>
        <v>0.99999999999999989</v>
      </c>
      <c r="I31" s="19">
        <f t="shared" si="20"/>
        <v>1</v>
      </c>
      <c r="J31" s="19">
        <f t="shared" si="20"/>
        <v>1</v>
      </c>
      <c r="K31" s="19">
        <f t="shared" si="20"/>
        <v>1.0000000000000002</v>
      </c>
      <c r="L31" s="19">
        <f t="shared" si="20"/>
        <v>1</v>
      </c>
      <c r="M31" s="19">
        <f t="shared" si="20"/>
        <v>0.99999999999999989</v>
      </c>
      <c r="N31" s="19">
        <f t="shared" si="20"/>
        <v>1</v>
      </c>
      <c r="O31" s="19">
        <f t="shared" si="20"/>
        <v>1</v>
      </c>
      <c r="P31" s="19">
        <f t="shared" si="20"/>
        <v>1</v>
      </c>
      <c r="Q31" s="19">
        <f t="shared" si="20"/>
        <v>1</v>
      </c>
      <c r="R31" s="19">
        <f t="shared" si="20"/>
        <v>1</v>
      </c>
    </row>
    <row r="33" spans="3:19" x14ac:dyDescent="0.2">
      <c r="C33" s="9" t="s">
        <v>237</v>
      </c>
      <c r="D33" s="9" t="str">
        <f t="shared" ref="D33:R33" si="21">D5</f>
        <v>FY2021</v>
      </c>
      <c r="E33" s="9" t="str">
        <f t="shared" si="21"/>
        <v>FY2022</v>
      </c>
      <c r="F33" s="9" t="str">
        <f t="shared" si="21"/>
        <v>FY2023</v>
      </c>
      <c r="G33" s="9" t="str">
        <f t="shared" si="21"/>
        <v>FY2024</v>
      </c>
      <c r="H33" s="9" t="str">
        <f t="shared" si="21"/>
        <v>FY2025</v>
      </c>
      <c r="I33" s="10" t="str">
        <f t="shared" si="21"/>
        <v>FY2026 E</v>
      </c>
      <c r="J33" s="10" t="str">
        <f t="shared" si="21"/>
        <v>FY2027 E</v>
      </c>
      <c r="K33" s="10" t="str">
        <f t="shared" si="21"/>
        <v>FY2028 E</v>
      </c>
      <c r="L33" s="10" t="str">
        <f t="shared" si="21"/>
        <v>FY2029 E</v>
      </c>
      <c r="M33" s="10" t="str">
        <f t="shared" si="21"/>
        <v>FY2030 E</v>
      </c>
      <c r="N33" s="10" t="str">
        <f t="shared" si="21"/>
        <v>FY2031 E</v>
      </c>
      <c r="O33" s="10" t="str">
        <f t="shared" si="21"/>
        <v>FY2032 E</v>
      </c>
      <c r="P33" s="10" t="str">
        <f t="shared" si="21"/>
        <v>FY2033 E</v>
      </c>
      <c r="Q33" s="10" t="str">
        <f t="shared" si="21"/>
        <v>FY2034 E</v>
      </c>
      <c r="R33" s="10" t="str">
        <f t="shared" si="21"/>
        <v>FY2035 E</v>
      </c>
    </row>
    <row r="34" spans="3:19" x14ac:dyDescent="0.2">
      <c r="C34" s="17" t="s">
        <v>302</v>
      </c>
    </row>
    <row r="35" spans="3:19" x14ac:dyDescent="0.2">
      <c r="C35" s="154" t="s">
        <v>297</v>
      </c>
      <c r="D35" s="36">
        <v>337.8</v>
      </c>
      <c r="E35" s="36">
        <v>334.9</v>
      </c>
      <c r="F35" s="36">
        <v>315.60000000000002</v>
      </c>
      <c r="G35" s="36">
        <v>307</v>
      </c>
      <c r="H35" s="36">
        <v>316.89999999999998</v>
      </c>
      <c r="I35" s="51">
        <f t="shared" ref="I35:R35" si="22">I44*I7</f>
        <v>332.47308000000004</v>
      </c>
      <c r="J35" s="51">
        <f t="shared" si="22"/>
        <v>343.41523200000006</v>
      </c>
      <c r="K35" s="51">
        <f t="shared" si="22"/>
        <v>352.92354123600006</v>
      </c>
      <c r="L35" s="51">
        <f t="shared" si="22"/>
        <v>362.63983132187997</v>
      </c>
      <c r="M35" s="51">
        <f t="shared" si="22"/>
        <v>368.49956030360551</v>
      </c>
      <c r="N35" s="51">
        <f t="shared" si="22"/>
        <v>372.18455590664155</v>
      </c>
      <c r="O35" s="51">
        <f t="shared" si="22"/>
        <v>375.90640146570797</v>
      </c>
      <c r="P35" s="51">
        <f t="shared" si="22"/>
        <v>379.66546548036507</v>
      </c>
      <c r="Q35" s="51">
        <f t="shared" si="22"/>
        <v>383.46212013516868</v>
      </c>
      <c r="R35" s="51">
        <f t="shared" si="22"/>
        <v>387.29674133652037</v>
      </c>
    </row>
    <row r="36" spans="3:19" x14ac:dyDescent="0.2">
      <c r="C36" s="154" t="s">
        <v>298</v>
      </c>
      <c r="D36" s="36">
        <v>103.8</v>
      </c>
      <c r="E36" s="36">
        <v>161.80000000000001</v>
      </c>
      <c r="F36" s="36">
        <v>161.69999999999999</v>
      </c>
      <c r="G36" s="36">
        <v>166.3</v>
      </c>
      <c r="H36" s="36">
        <v>151.4</v>
      </c>
      <c r="I36" s="51">
        <f t="shared" ref="I36:R36" si="23">I45*I8</f>
        <v>159.91768000000002</v>
      </c>
      <c r="J36" s="51">
        <f t="shared" si="23"/>
        <v>170.69108160000002</v>
      </c>
      <c r="K36" s="51">
        <f t="shared" si="23"/>
        <v>182.07048704000002</v>
      </c>
      <c r="L36" s="51">
        <f t="shared" si="23"/>
        <v>192.22091669248002</v>
      </c>
      <c r="M36" s="51">
        <f t="shared" si="23"/>
        <v>197.98754419325442</v>
      </c>
      <c r="N36" s="51">
        <f t="shared" si="23"/>
        <v>203.92717051905205</v>
      </c>
      <c r="O36" s="51">
        <f t="shared" si="23"/>
        <v>210.04498563462363</v>
      </c>
      <c r="P36" s="51">
        <f t="shared" si="23"/>
        <v>214.24588534731609</v>
      </c>
      <c r="Q36" s="51">
        <f t="shared" si="23"/>
        <v>218.53080305426241</v>
      </c>
      <c r="R36" s="51">
        <f t="shared" si="23"/>
        <v>222.90141911534766</v>
      </c>
    </row>
    <row r="37" spans="3:19" x14ac:dyDescent="0.2">
      <c r="C37" s="154" t="s">
        <v>299</v>
      </c>
      <c r="D37" s="36">
        <v>60.5</v>
      </c>
      <c r="E37" s="36">
        <v>47.1</v>
      </c>
      <c r="F37" s="36">
        <v>49.7</v>
      </c>
      <c r="G37" s="36">
        <v>55.3</v>
      </c>
      <c r="H37" s="36">
        <v>67.7</v>
      </c>
      <c r="I37" s="51">
        <f t="shared" ref="I37:R37" si="24">I46*I9</f>
        <v>75.235200000000006</v>
      </c>
      <c r="J37" s="51">
        <f t="shared" si="24"/>
        <v>81.536148000000011</v>
      </c>
      <c r="K37" s="51">
        <f t="shared" si="24"/>
        <v>88.059039839999997</v>
      </c>
      <c r="L37" s="51">
        <f t="shared" si="24"/>
        <v>89.820220636800002</v>
      </c>
      <c r="M37" s="51">
        <f t="shared" si="24"/>
        <v>91.616625049536012</v>
      </c>
      <c r="N37" s="51">
        <f t="shared" si="24"/>
        <v>93.448957550526728</v>
      </c>
      <c r="O37" s="51">
        <f t="shared" si="24"/>
        <v>95.317936701537263</v>
      </c>
      <c r="P37" s="51">
        <f t="shared" si="24"/>
        <v>97.22429543556801</v>
      </c>
      <c r="Q37" s="51">
        <f t="shared" si="24"/>
        <v>99.168781344279381</v>
      </c>
      <c r="R37" s="51">
        <f t="shared" si="24"/>
        <v>101.15215697116498</v>
      </c>
    </row>
    <row r="38" spans="3:19" x14ac:dyDescent="0.2">
      <c r="C38" s="154" t="s">
        <v>300</v>
      </c>
      <c r="D38" s="36">
        <v>32.5</v>
      </c>
      <c r="E38" s="36">
        <v>29.3</v>
      </c>
      <c r="F38" s="36">
        <v>60</v>
      </c>
      <c r="G38" s="36">
        <v>59.1</v>
      </c>
      <c r="H38" s="36">
        <v>65.2</v>
      </c>
      <c r="I38" s="51">
        <f t="shared" ref="I38:R38" si="25">I47*I10</f>
        <v>65.835494999999995</v>
      </c>
      <c r="J38" s="51">
        <f t="shared" si="25"/>
        <v>70.443979650000003</v>
      </c>
      <c r="K38" s="51">
        <f t="shared" si="25"/>
        <v>74.670618429000001</v>
      </c>
      <c r="L38" s="51">
        <f t="shared" si="25"/>
        <v>79.150855534740003</v>
      </c>
      <c r="M38" s="51">
        <f t="shared" si="25"/>
        <v>83.108398311477018</v>
      </c>
      <c r="N38" s="51">
        <f t="shared" si="25"/>
        <v>87.263818227050876</v>
      </c>
      <c r="O38" s="51">
        <f t="shared" si="25"/>
        <v>90.754370956132902</v>
      </c>
      <c r="P38" s="51">
        <f t="shared" si="25"/>
        <v>93.477002084816888</v>
      </c>
      <c r="Q38" s="51">
        <f t="shared" si="25"/>
        <v>96.28131214736139</v>
      </c>
      <c r="R38" s="51">
        <f t="shared" si="25"/>
        <v>99.169751511782238</v>
      </c>
    </row>
    <row r="39" spans="3:19" x14ac:dyDescent="0.2">
      <c r="C39" s="154" t="s">
        <v>301</v>
      </c>
      <c r="D39" s="36">
        <v>49.8</v>
      </c>
      <c r="E39" s="36">
        <v>63.8</v>
      </c>
      <c r="F39" s="36">
        <v>53.2</v>
      </c>
      <c r="G39" s="36">
        <v>69.400000000000006</v>
      </c>
      <c r="H39" s="36">
        <v>86.5</v>
      </c>
      <c r="I39" s="51">
        <f t="shared" ref="I39:R39" si="26">I48*I11</f>
        <v>90.680640000000011</v>
      </c>
      <c r="J39" s="51">
        <f t="shared" si="26"/>
        <v>118.33823519999999</v>
      </c>
      <c r="K39" s="51">
        <f t="shared" si="26"/>
        <v>149.89509792000001</v>
      </c>
      <c r="L39" s="51">
        <f t="shared" si="26"/>
        <v>151.09425870336003</v>
      </c>
      <c r="M39" s="51">
        <f t="shared" si="26"/>
        <v>175.43722260556805</v>
      </c>
      <c r="N39" s="51">
        <f t="shared" si="26"/>
        <v>189.47220041401351</v>
      </c>
      <c r="O39" s="51">
        <f t="shared" si="26"/>
        <v>204.62997644713462</v>
      </c>
      <c r="P39" s="51">
        <f t="shared" si="26"/>
        <v>216.90777503396274</v>
      </c>
      <c r="Q39" s="51">
        <f t="shared" si="26"/>
        <v>229.92224153600051</v>
      </c>
      <c r="R39" s="51">
        <f t="shared" si="26"/>
        <v>243.71757602816055</v>
      </c>
    </row>
    <row r="40" spans="3:19" x14ac:dyDescent="0.2">
      <c r="C40" s="154" t="s">
        <v>417</v>
      </c>
      <c r="D40" s="36"/>
      <c r="E40" s="36"/>
      <c r="F40" s="36"/>
      <c r="G40" s="36"/>
      <c r="H40" s="36"/>
      <c r="I40" s="51">
        <f>I49*I12</f>
        <v>13.75</v>
      </c>
      <c r="J40" s="51">
        <f t="shared" ref="J40:R40" si="27">J49*J12</f>
        <v>15.8125</v>
      </c>
      <c r="K40" s="51">
        <f t="shared" si="27"/>
        <v>18.184374999999999</v>
      </c>
      <c r="L40" s="51">
        <f t="shared" si="27"/>
        <v>38.51203125</v>
      </c>
      <c r="M40" s="51">
        <f t="shared" si="27"/>
        <v>44.288835937499996</v>
      </c>
      <c r="N40" s="51">
        <f t="shared" si="27"/>
        <v>48.717719531250005</v>
      </c>
      <c r="O40" s="51">
        <f t="shared" si="27"/>
        <v>75.589491484375017</v>
      </c>
      <c r="P40" s="51">
        <f t="shared" si="27"/>
        <v>83.148440632812523</v>
      </c>
      <c r="Q40" s="51">
        <f t="shared" si="27"/>
        <v>109.06328469609377</v>
      </c>
      <c r="R40" s="51">
        <f t="shared" si="27"/>
        <v>119.96961316570318</v>
      </c>
    </row>
    <row r="41" spans="3:19" x14ac:dyDescent="0.2">
      <c r="C41" s="155" t="s">
        <v>303</v>
      </c>
      <c r="D41" s="155">
        <f>SUM(D35:D39)</f>
        <v>584.4</v>
      </c>
      <c r="E41" s="155">
        <f t="shared" ref="E41" si="28">SUM(E35:E39)</f>
        <v>636.89999999999986</v>
      </c>
      <c r="F41" s="155">
        <f t="shared" ref="F41" si="29">SUM(F35:F39)</f>
        <v>640.20000000000005</v>
      </c>
      <c r="G41" s="155">
        <f t="shared" ref="G41" si="30">SUM(G35:G39)</f>
        <v>657.1</v>
      </c>
      <c r="H41" s="155">
        <f t="shared" ref="H41" si="31">SUM(H35:H39)</f>
        <v>687.7</v>
      </c>
      <c r="I41" s="155">
        <f>SUM(I35:I40)</f>
        <v>737.89209500000015</v>
      </c>
      <c r="J41" s="155">
        <f t="shared" ref="J41:R41" si="32">SUM(J35:J40)</f>
        <v>800.23717644999999</v>
      </c>
      <c r="K41" s="155">
        <f t="shared" si="32"/>
        <v>865.80315946500014</v>
      </c>
      <c r="L41" s="155">
        <f t="shared" si="32"/>
        <v>913.43811413925994</v>
      </c>
      <c r="M41" s="155">
        <f t="shared" si="32"/>
        <v>960.93818640094105</v>
      </c>
      <c r="N41" s="155">
        <f t="shared" si="32"/>
        <v>995.01442214853489</v>
      </c>
      <c r="O41" s="155">
        <f t="shared" si="32"/>
        <v>1052.2431626895116</v>
      </c>
      <c r="P41" s="155">
        <f t="shared" si="32"/>
        <v>1084.6688640148413</v>
      </c>
      <c r="Q41" s="155">
        <f t="shared" si="32"/>
        <v>1136.428542913166</v>
      </c>
      <c r="R41" s="155">
        <f t="shared" si="32"/>
        <v>1174.2072581286789</v>
      </c>
    </row>
    <row r="42" spans="3:19" x14ac:dyDescent="0.2">
      <c r="C42" s="248"/>
      <c r="D42" s="247"/>
      <c r="E42" s="247"/>
      <c r="F42" s="247"/>
      <c r="G42" s="247"/>
      <c r="H42" s="247"/>
    </row>
    <row r="43" spans="3:19" x14ac:dyDescent="0.2">
      <c r="C43" s="17" t="s">
        <v>323</v>
      </c>
      <c r="S43" s="41"/>
    </row>
    <row r="44" spans="3:19" x14ac:dyDescent="0.2">
      <c r="C44" s="15" t="str">
        <f>C35</f>
        <v>Business &amp; Industry</v>
      </c>
      <c r="D44" s="41">
        <f t="shared" ref="D44:H48" si="33">D35/D7</f>
        <v>0.10094128193635142</v>
      </c>
      <c r="E44" s="41">
        <f t="shared" si="33"/>
        <v>8.1764691520789079E-2</v>
      </c>
      <c r="F44" s="41">
        <f t="shared" si="33"/>
        <v>7.7175135716731069E-2</v>
      </c>
      <c r="G44" s="41">
        <f t="shared" si="33"/>
        <v>7.5630666141111552E-2</v>
      </c>
      <c r="H44" s="41">
        <f t="shared" si="33"/>
        <v>7.6805622879301982E-2</v>
      </c>
      <c r="I44" s="288">
        <f>I60+I70</f>
        <v>7.9000000000000001E-2</v>
      </c>
      <c r="J44" s="288">
        <f t="shared" ref="J44:R44" si="34">J60+J70</f>
        <v>0.08</v>
      </c>
      <c r="K44" s="288">
        <f t="shared" si="34"/>
        <v>8.1000000000000003E-2</v>
      </c>
      <c r="L44" s="288">
        <f t="shared" si="34"/>
        <v>8.2000000000000003E-2</v>
      </c>
      <c r="M44" s="288">
        <f t="shared" si="34"/>
        <v>8.2500000000000004E-2</v>
      </c>
      <c r="N44" s="288">
        <f t="shared" si="34"/>
        <v>8.2500000000000004E-2</v>
      </c>
      <c r="O44" s="288">
        <f t="shared" si="34"/>
        <v>8.2500000000000004E-2</v>
      </c>
      <c r="P44" s="288">
        <f t="shared" si="34"/>
        <v>8.2500000000000004E-2</v>
      </c>
      <c r="Q44" s="288">
        <f t="shared" si="34"/>
        <v>8.2500000000000004E-2</v>
      </c>
      <c r="R44" s="288">
        <f t="shared" si="34"/>
        <v>8.2500000000000004E-2</v>
      </c>
      <c r="S44" s="41"/>
    </row>
    <row r="45" spans="3:19" x14ac:dyDescent="0.2">
      <c r="C45" s="15" t="str">
        <f>C36</f>
        <v>Manufacturing &amp; Distribution</v>
      </c>
      <c r="D45" s="41">
        <f t="shared" si="33"/>
        <v>0.10515651909634281</v>
      </c>
      <c r="E45" s="41">
        <f t="shared" si="33"/>
        <v>0.11195682258510933</v>
      </c>
      <c r="F45" s="41">
        <f t="shared" si="33"/>
        <v>0.10591471801925721</v>
      </c>
      <c r="G45" s="41">
        <f t="shared" si="33"/>
        <v>0.1069935018979605</v>
      </c>
      <c r="H45" s="41">
        <f t="shared" si="33"/>
        <v>9.3537625108118139E-2</v>
      </c>
      <c r="I45" s="288">
        <f>I65+I70</f>
        <v>9.5000000000000001E-2</v>
      </c>
      <c r="J45" s="288">
        <f t="shared" ref="J45:R45" si="35">J65+J70</f>
        <v>9.7500000000000003E-2</v>
      </c>
      <c r="K45" s="288">
        <f t="shared" si="35"/>
        <v>0.1</v>
      </c>
      <c r="L45" s="288">
        <f t="shared" si="35"/>
        <v>0.10249999999999999</v>
      </c>
      <c r="M45" s="288">
        <f t="shared" si="35"/>
        <v>0.10249999999999999</v>
      </c>
      <c r="N45" s="288">
        <f t="shared" si="35"/>
        <v>0.10249999999999999</v>
      </c>
      <c r="O45" s="288">
        <f t="shared" si="35"/>
        <v>0.10249999999999999</v>
      </c>
      <c r="P45" s="288">
        <f t="shared" si="35"/>
        <v>0.10249999999999999</v>
      </c>
      <c r="Q45" s="288">
        <f t="shared" si="35"/>
        <v>0.10249999999999999</v>
      </c>
      <c r="R45" s="288">
        <f t="shared" si="35"/>
        <v>0.10249999999999999</v>
      </c>
      <c r="S45" s="41"/>
    </row>
    <row r="46" spans="3:19" x14ac:dyDescent="0.2">
      <c r="C46" s="15" t="str">
        <f>C37</f>
        <v>Education</v>
      </c>
      <c r="D46" s="41">
        <f t="shared" si="33"/>
        <v>7.2333811573409859E-2</v>
      </c>
      <c r="E46" s="41">
        <f t="shared" si="33"/>
        <v>5.6427458967293634E-2</v>
      </c>
      <c r="F46" s="41">
        <f t="shared" si="33"/>
        <v>5.6451612903225812E-2</v>
      </c>
      <c r="G46" s="41">
        <f t="shared" si="33"/>
        <v>6.1165800243335906E-2</v>
      </c>
      <c r="H46" s="41">
        <f t="shared" si="33"/>
        <v>7.3427331887201741E-2</v>
      </c>
      <c r="I46" s="42">
        <v>0.08</v>
      </c>
      <c r="J46" s="42">
        <v>8.5000000000000006E-2</v>
      </c>
      <c r="K46" s="42">
        <v>0.09</v>
      </c>
      <c r="L46" s="42">
        <v>0.09</v>
      </c>
      <c r="M46" s="42">
        <v>0.09</v>
      </c>
      <c r="N46" s="42">
        <v>0.09</v>
      </c>
      <c r="O46" s="42">
        <v>0.09</v>
      </c>
      <c r="P46" s="42">
        <v>0.09</v>
      </c>
      <c r="Q46" s="42">
        <v>0.09</v>
      </c>
      <c r="R46" s="42">
        <v>0.09</v>
      </c>
      <c r="S46" s="41"/>
    </row>
    <row r="47" spans="3:19" x14ac:dyDescent="0.2">
      <c r="C47" s="15" t="str">
        <f>C38</f>
        <v>Aviation</v>
      </c>
      <c r="D47" s="41">
        <f t="shared" si="33"/>
        <v>4.8594497607655503E-2</v>
      </c>
      <c r="E47" s="41">
        <f t="shared" si="33"/>
        <v>3.6442786069651741E-2</v>
      </c>
      <c r="F47" s="41">
        <f t="shared" si="33"/>
        <v>6.4815815058874363E-2</v>
      </c>
      <c r="G47" s="41">
        <f t="shared" si="33"/>
        <v>5.723416618245207E-2</v>
      </c>
      <c r="H47" s="41">
        <f t="shared" si="33"/>
        <v>5.8281934388129078E-2</v>
      </c>
      <c r="I47" s="42">
        <v>5.5E-2</v>
      </c>
      <c r="J47" s="42">
        <v>5.5E-2</v>
      </c>
      <c r="K47" s="42">
        <v>5.5E-2</v>
      </c>
      <c r="L47" s="42">
        <v>5.5E-2</v>
      </c>
      <c r="M47" s="42">
        <v>5.5E-2</v>
      </c>
      <c r="N47" s="42">
        <v>5.5E-2</v>
      </c>
      <c r="O47" s="42">
        <v>5.5E-2</v>
      </c>
      <c r="P47" s="42">
        <v>5.5E-2</v>
      </c>
      <c r="Q47" s="42">
        <v>5.5E-2</v>
      </c>
      <c r="R47" s="42">
        <v>5.5E-2</v>
      </c>
    </row>
    <row r="48" spans="3:19" x14ac:dyDescent="0.2">
      <c r="C48" s="15" t="str">
        <f>C39</f>
        <v>Technical Solutions</v>
      </c>
      <c r="D48" s="41">
        <f t="shared" si="33"/>
        <v>9.3258426966292135E-2</v>
      </c>
      <c r="E48" s="41">
        <f t="shared" si="33"/>
        <v>0.10178685386088067</v>
      </c>
      <c r="F48" s="41">
        <f t="shared" si="33"/>
        <v>7.8908335805398994E-2</v>
      </c>
      <c r="G48" s="41">
        <f t="shared" si="33"/>
        <v>8.576371725160653E-2</v>
      </c>
      <c r="H48" s="41">
        <f t="shared" si="33"/>
        <v>9.0047886737455757E-2</v>
      </c>
      <c r="I48" s="296">
        <f>I70+8%</f>
        <v>0.08</v>
      </c>
      <c r="J48" s="296">
        <f>J70+9%</f>
        <v>0.09</v>
      </c>
      <c r="K48" s="296">
        <f>K70+10%</f>
        <v>0.1</v>
      </c>
      <c r="L48" s="296">
        <f>K70+9%</f>
        <v>0.09</v>
      </c>
      <c r="M48" s="296">
        <f>K70+9.5%</f>
        <v>9.5000000000000001E-2</v>
      </c>
      <c r="N48" s="296">
        <f>K70+9.5%</f>
        <v>9.5000000000000001E-2</v>
      </c>
      <c r="O48" s="296">
        <f>K70+9.5%</f>
        <v>9.5000000000000001E-2</v>
      </c>
      <c r="P48" s="296">
        <f>K70+9.5%</f>
        <v>9.5000000000000001E-2</v>
      </c>
      <c r="Q48" s="296">
        <f>K70+9.5%</f>
        <v>9.5000000000000001E-2</v>
      </c>
      <c r="R48" s="296">
        <f>K70+9.5%</f>
        <v>9.5000000000000001E-2</v>
      </c>
    </row>
    <row r="49" spans="3:20" x14ac:dyDescent="0.2">
      <c r="C49" s="15" t="s">
        <v>428</v>
      </c>
      <c r="D49" s="41"/>
      <c r="E49" s="41"/>
      <c r="F49" s="41"/>
      <c r="G49" s="41"/>
      <c r="H49" s="41"/>
      <c r="I49" s="42">
        <f>I70*5+11%</f>
        <v>0.11</v>
      </c>
      <c r="J49" s="42">
        <f>J70*5+11%</f>
        <v>0.11</v>
      </c>
      <c r="K49" s="42">
        <f>K70*5+11%</f>
        <v>0.11</v>
      </c>
      <c r="L49" s="42">
        <f>K70*5+11%</f>
        <v>0.11</v>
      </c>
      <c r="M49" s="42">
        <f>K70*5+11%</f>
        <v>0.11</v>
      </c>
      <c r="N49" s="42">
        <f>K70*5+11%</f>
        <v>0.11</v>
      </c>
      <c r="O49" s="42">
        <f>K70*5+11%</f>
        <v>0.11</v>
      </c>
      <c r="P49" s="42">
        <f>K70*5+11%</f>
        <v>0.11</v>
      </c>
      <c r="Q49" s="42">
        <f>K70*5+11%</f>
        <v>0.11</v>
      </c>
      <c r="R49" s="42">
        <f>K70*5+11%</f>
        <v>0.11</v>
      </c>
      <c r="S49" s="12" t="s">
        <v>452</v>
      </c>
    </row>
    <row r="50" spans="3:20" x14ac:dyDescent="0.2">
      <c r="C50" s="16" t="s">
        <v>324</v>
      </c>
      <c r="D50" s="251">
        <f t="shared" ref="D50:R50" si="36">D41/D13</f>
        <v>9.1702234496610593E-2</v>
      </c>
      <c r="E50" s="251">
        <f t="shared" si="36"/>
        <v>8.1584812850664795E-2</v>
      </c>
      <c r="F50" s="251">
        <f t="shared" si="36"/>
        <v>7.9072180228249606E-2</v>
      </c>
      <c r="G50" s="251">
        <f t="shared" si="36"/>
        <v>7.8606120056463377E-2</v>
      </c>
      <c r="H50" s="251">
        <f t="shared" si="36"/>
        <v>7.8631130015207135E-2</v>
      </c>
      <c r="I50" s="251">
        <f t="shared" si="36"/>
        <v>7.9447277784530965E-2</v>
      </c>
      <c r="J50" s="251">
        <f t="shared" si="36"/>
        <v>8.2142704782506612E-2</v>
      </c>
      <c r="K50" s="251">
        <f t="shared" si="36"/>
        <v>8.506504808193309E-2</v>
      </c>
      <c r="L50" s="251">
        <f t="shared" si="36"/>
        <v>8.4861997942574041E-2</v>
      </c>
      <c r="M50" s="251">
        <f t="shared" si="36"/>
        <v>8.5977647305641378E-2</v>
      </c>
      <c r="N50" s="251">
        <f t="shared" si="36"/>
        <v>8.6050608887560359E-2</v>
      </c>
      <c r="O50" s="251">
        <f t="shared" si="36"/>
        <v>8.6561591969288837E-2</v>
      </c>
      <c r="P50" s="251">
        <f t="shared" si="36"/>
        <v>8.6695858352102445E-2</v>
      </c>
      <c r="Q50" s="251">
        <f t="shared" si="36"/>
        <v>8.7121389474013392E-2</v>
      </c>
      <c r="R50" s="251">
        <f t="shared" si="36"/>
        <v>8.7287155418619283E-2</v>
      </c>
    </row>
    <row r="51" spans="3:20" x14ac:dyDescent="0.2">
      <c r="C51" s="16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3" spans="3:20" x14ac:dyDescent="0.2">
      <c r="C53" s="9" t="s">
        <v>219</v>
      </c>
      <c r="D53" s="9" t="str">
        <f t="shared" ref="D53:R53" si="37">D5</f>
        <v>FY2021</v>
      </c>
      <c r="E53" s="9" t="str">
        <f t="shared" si="37"/>
        <v>FY2022</v>
      </c>
      <c r="F53" s="9" t="str">
        <f t="shared" si="37"/>
        <v>FY2023</v>
      </c>
      <c r="G53" s="9" t="str">
        <f t="shared" si="37"/>
        <v>FY2024</v>
      </c>
      <c r="H53" s="9" t="str">
        <f t="shared" si="37"/>
        <v>FY2025</v>
      </c>
      <c r="I53" s="10" t="str">
        <f t="shared" si="37"/>
        <v>FY2026 E</v>
      </c>
      <c r="J53" s="10" t="str">
        <f t="shared" si="37"/>
        <v>FY2027 E</v>
      </c>
      <c r="K53" s="10" t="str">
        <f t="shared" si="37"/>
        <v>FY2028 E</v>
      </c>
      <c r="L53" s="10" t="str">
        <f t="shared" si="37"/>
        <v>FY2029 E</v>
      </c>
      <c r="M53" s="10" t="str">
        <f t="shared" si="37"/>
        <v>FY2030 E</v>
      </c>
      <c r="N53" s="10" t="str">
        <f t="shared" si="37"/>
        <v>FY2031 E</v>
      </c>
      <c r="O53" s="10" t="str">
        <f t="shared" si="37"/>
        <v>FY2032 E</v>
      </c>
      <c r="P53" s="10" t="str">
        <f t="shared" si="37"/>
        <v>FY2033 E</v>
      </c>
      <c r="Q53" s="10" t="str">
        <f t="shared" si="37"/>
        <v>FY2034 E</v>
      </c>
      <c r="R53" s="10" t="str">
        <f t="shared" si="37"/>
        <v>FY2035 E</v>
      </c>
    </row>
    <row r="54" spans="3:20" ht="16" thickBot="1" x14ac:dyDescent="0.25">
      <c r="H54" s="17" t="s">
        <v>220</v>
      </c>
      <c r="I54" s="218">
        <f>Summary!L13</f>
        <v>2</v>
      </c>
      <c r="J54" s="12" t="s">
        <v>221</v>
      </c>
    </row>
    <row r="55" spans="3:20" ht="16" thickBot="1" x14ac:dyDescent="0.25">
      <c r="C55" s="203" t="s">
        <v>440</v>
      </c>
      <c r="D55" s="214"/>
      <c r="E55" s="214"/>
      <c r="F55" s="214"/>
      <c r="G55" s="214"/>
      <c r="H55" s="214"/>
      <c r="I55" s="208">
        <f>CHOOSE($I$54, I56,I57,I58)</f>
        <v>0.18</v>
      </c>
      <c r="J55" s="209">
        <f t="shared" ref="J55" si="38">CHOOSE($I$54, J56,J57,J58)</f>
        <v>0.16</v>
      </c>
      <c r="K55" s="209">
        <f t="shared" ref="K55" si="39">CHOOSE($I$54, K56,K57,K58)</f>
        <v>0.14000000000000001</v>
      </c>
      <c r="L55" s="209">
        <f t="shared" ref="L55" si="40">CHOOSE($I$54, L56,L57,L58)</f>
        <v>0.12</v>
      </c>
      <c r="M55" s="209">
        <f t="shared" ref="M55" si="41">CHOOSE($I$54, M56,M57,M58)</f>
        <v>0.1</v>
      </c>
      <c r="N55" s="209">
        <f t="shared" ref="N55" si="42">CHOOSE($I$54, N56,N57,N58)</f>
        <v>0.08</v>
      </c>
      <c r="O55" s="209">
        <f t="shared" ref="O55" si="43">CHOOSE($I$54, O56,O57,O58)</f>
        <v>0.08</v>
      </c>
      <c r="P55" s="209">
        <f t="shared" ref="P55" si="44">CHOOSE($I$54, P56,P57,P58)</f>
        <v>0.06</v>
      </c>
      <c r="Q55" s="209">
        <f t="shared" ref="Q55" si="45">CHOOSE($I$54, Q56,Q57,Q58)</f>
        <v>0.06</v>
      </c>
      <c r="R55" s="210">
        <f t="shared" ref="R55" si="46">CHOOSE($I$54, R56,R57,R58)</f>
        <v>0.06</v>
      </c>
      <c r="S55" s="1"/>
    </row>
    <row r="56" spans="3:20" x14ac:dyDescent="0.2">
      <c r="C56" s="204" t="s">
        <v>222</v>
      </c>
      <c r="D56" s="14"/>
      <c r="E56" s="14"/>
      <c r="F56" s="14"/>
      <c r="G56" s="14"/>
      <c r="H56" s="14"/>
      <c r="I56" s="216">
        <f>'Thesis 1'!F6</f>
        <v>0.18</v>
      </c>
      <c r="J56" s="216">
        <f>'Thesis 1'!G6</f>
        <v>0.17</v>
      </c>
      <c r="K56" s="216">
        <f>'Thesis 1'!H6</f>
        <v>0.16</v>
      </c>
      <c r="L56" s="216">
        <f>'Thesis 1'!I6</f>
        <v>0.15</v>
      </c>
      <c r="M56" s="216">
        <f>'Thesis 1'!J6</f>
        <v>0.14000000000000001</v>
      </c>
      <c r="N56" s="216">
        <f>'Thesis 1'!K6</f>
        <v>0.12</v>
      </c>
      <c r="O56" s="216">
        <f>'Thesis 1'!L6</f>
        <v>0.1</v>
      </c>
      <c r="P56" s="216">
        <f>'Thesis 1'!M6</f>
        <v>0.1</v>
      </c>
      <c r="Q56" s="216">
        <f>'Thesis 1'!N6</f>
        <v>0.09</v>
      </c>
      <c r="R56" s="217">
        <f>'Thesis 1'!O6</f>
        <v>0.08</v>
      </c>
      <c r="S56" s="294"/>
    </row>
    <row r="57" spans="3:20" x14ac:dyDescent="0.2">
      <c r="C57" s="204" t="s">
        <v>223</v>
      </c>
      <c r="D57" s="14"/>
      <c r="E57" s="226"/>
      <c r="F57" s="226"/>
      <c r="G57" s="226"/>
      <c r="H57" s="226"/>
      <c r="I57" s="216">
        <f>'Thesis 1'!F14</f>
        <v>0.18</v>
      </c>
      <c r="J57" s="216">
        <f>'Thesis 1'!G14</f>
        <v>0.16</v>
      </c>
      <c r="K57" s="216">
        <f>'Thesis 1'!H14</f>
        <v>0.14000000000000001</v>
      </c>
      <c r="L57" s="216">
        <f>'Thesis 1'!I14</f>
        <v>0.12</v>
      </c>
      <c r="M57" s="216">
        <f>'Thesis 1'!J14</f>
        <v>0.1</v>
      </c>
      <c r="N57" s="216">
        <f>'Thesis 1'!K14</f>
        <v>0.08</v>
      </c>
      <c r="O57" s="216">
        <f>'Thesis 1'!L14</f>
        <v>0.08</v>
      </c>
      <c r="P57" s="216">
        <f>'Thesis 1'!M14</f>
        <v>0.06</v>
      </c>
      <c r="Q57" s="216">
        <f>'Thesis 1'!N14</f>
        <v>0.06</v>
      </c>
      <c r="R57" s="217">
        <f>'Thesis 1'!O14</f>
        <v>0.06</v>
      </c>
      <c r="S57" s="294"/>
      <c r="T57" s="12" t="s">
        <v>224</v>
      </c>
    </row>
    <row r="58" spans="3:20" x14ac:dyDescent="0.2">
      <c r="C58" s="204" t="s">
        <v>225</v>
      </c>
      <c r="D58" s="14"/>
      <c r="E58" s="14"/>
      <c r="F58" s="14"/>
      <c r="G58" s="14"/>
      <c r="H58" s="14"/>
      <c r="I58" s="216">
        <f>'Thesis 1'!F22</f>
        <v>0.15</v>
      </c>
      <c r="J58" s="216">
        <f>'Thesis 1'!G22</f>
        <v>0.1</v>
      </c>
      <c r="K58" s="216">
        <f>'Thesis 1'!H22</f>
        <v>0.05</v>
      </c>
      <c r="L58" s="216">
        <f>'Thesis 1'!I22</f>
        <v>0.05</v>
      </c>
      <c r="M58" s="216">
        <f>'Thesis 1'!J22</f>
        <v>0.04</v>
      </c>
      <c r="N58" s="216">
        <f>'Thesis 1'!K22</f>
        <v>0.04</v>
      </c>
      <c r="O58" s="216">
        <f>'Thesis 1'!L22</f>
        <v>0.03</v>
      </c>
      <c r="P58" s="216">
        <f>'Thesis 1'!M22</f>
        <v>0.03</v>
      </c>
      <c r="Q58" s="216">
        <f>'Thesis 1'!N22</f>
        <v>0.02</v>
      </c>
      <c r="R58" s="217">
        <f>'Thesis 1'!O22</f>
        <v>0.02</v>
      </c>
      <c r="S58" s="294"/>
    </row>
    <row r="59" spans="3:20" ht="16" thickBot="1" x14ac:dyDescent="0.25">
      <c r="C59" s="205"/>
      <c r="I59" s="227"/>
      <c r="J59" s="227"/>
      <c r="K59" s="227"/>
      <c r="L59" s="227"/>
      <c r="M59" s="227"/>
      <c r="N59" s="227"/>
      <c r="O59" s="227"/>
      <c r="P59" s="227"/>
      <c r="Q59" s="227"/>
      <c r="R59" s="212"/>
      <c r="S59" s="1"/>
    </row>
    <row r="60" spans="3:20" s="17" customFormat="1" ht="16" thickBot="1" x14ac:dyDescent="0.25">
      <c r="C60" s="206" t="s">
        <v>441</v>
      </c>
      <c r="D60" s="14"/>
      <c r="E60" s="14"/>
      <c r="F60" s="14"/>
      <c r="G60" s="14"/>
      <c r="H60" s="14"/>
      <c r="I60" s="208">
        <f>CHOOSE($I$54, I61,I62,I63)</f>
        <v>7.9000000000000001E-2</v>
      </c>
      <c r="J60" s="209">
        <f t="shared" ref="J60" si="47">CHOOSE($I$54, J61,J62,J63)</f>
        <v>0.08</v>
      </c>
      <c r="K60" s="209">
        <f t="shared" ref="K60" si="48">CHOOSE($I$54, K61,K62,K63)</f>
        <v>8.1000000000000003E-2</v>
      </c>
      <c r="L60" s="209">
        <f t="shared" ref="L60" si="49">CHOOSE($I$54, L61,L62,L63)</f>
        <v>8.2000000000000003E-2</v>
      </c>
      <c r="M60" s="209">
        <f t="shared" ref="M60" si="50">CHOOSE($I$54, M61,M62,M63)</f>
        <v>8.2500000000000004E-2</v>
      </c>
      <c r="N60" s="209">
        <f t="shared" ref="N60" si="51">CHOOSE($I$54, N61,N62,N63)</f>
        <v>8.2500000000000004E-2</v>
      </c>
      <c r="O60" s="209">
        <f t="shared" ref="O60" si="52">CHOOSE($I$54, O61,O62,O63)</f>
        <v>8.2500000000000004E-2</v>
      </c>
      <c r="P60" s="209">
        <f t="shared" ref="P60" si="53">CHOOSE($I$54, P61,P62,P63)</f>
        <v>8.2500000000000004E-2</v>
      </c>
      <c r="Q60" s="209">
        <f t="shared" ref="Q60" si="54">CHOOSE($I$54, Q61,Q62,Q63)</f>
        <v>8.2500000000000004E-2</v>
      </c>
      <c r="R60" s="210">
        <f t="shared" ref="R60" si="55">CHOOSE($I$54, R61,R62,R63)</f>
        <v>8.2500000000000004E-2</v>
      </c>
      <c r="S60" s="7"/>
    </row>
    <row r="61" spans="3:20" x14ac:dyDescent="0.2">
      <c r="C61" s="204" t="s">
        <v>222</v>
      </c>
      <c r="D61" s="14"/>
      <c r="E61" s="14"/>
      <c r="F61" s="14"/>
      <c r="G61" s="14"/>
      <c r="H61" s="14"/>
      <c r="I61" s="211">
        <v>0.08</v>
      </c>
      <c r="J61" s="211">
        <v>8.3000000000000004E-2</v>
      </c>
      <c r="K61" s="211">
        <v>8.5000000000000006E-2</v>
      </c>
      <c r="L61" s="295">
        <v>8.7499999999999994E-2</v>
      </c>
      <c r="M61" s="295">
        <v>0.09</v>
      </c>
      <c r="N61" s="295">
        <v>0.09</v>
      </c>
      <c r="O61" s="295">
        <v>0.09</v>
      </c>
      <c r="P61" s="295">
        <v>0.09</v>
      </c>
      <c r="Q61" s="295">
        <v>0.09</v>
      </c>
      <c r="R61" s="299">
        <v>0.09</v>
      </c>
      <c r="S61" s="294"/>
    </row>
    <row r="62" spans="3:20" x14ac:dyDescent="0.2">
      <c r="C62" s="204" t="s">
        <v>223</v>
      </c>
      <c r="D62" s="14"/>
      <c r="E62" s="226"/>
      <c r="F62" s="226"/>
      <c r="G62" s="226"/>
      <c r="H62" s="226"/>
      <c r="I62" s="211">
        <v>7.9000000000000001E-2</v>
      </c>
      <c r="J62" s="211">
        <v>0.08</v>
      </c>
      <c r="K62" s="211">
        <v>8.1000000000000003E-2</v>
      </c>
      <c r="L62" s="211">
        <v>8.2000000000000003E-2</v>
      </c>
      <c r="M62" s="211">
        <v>8.2500000000000004E-2</v>
      </c>
      <c r="N62" s="211">
        <v>8.2500000000000004E-2</v>
      </c>
      <c r="O62" s="211">
        <v>8.2500000000000004E-2</v>
      </c>
      <c r="P62" s="211">
        <v>8.2500000000000004E-2</v>
      </c>
      <c r="Q62" s="211">
        <v>8.2500000000000004E-2</v>
      </c>
      <c r="R62" s="300">
        <v>8.2500000000000004E-2</v>
      </c>
      <c r="S62" s="294"/>
    </row>
    <row r="63" spans="3:20" x14ac:dyDescent="0.2">
      <c r="C63" s="204" t="s">
        <v>225</v>
      </c>
      <c r="D63" s="14"/>
      <c r="E63" s="14"/>
      <c r="F63" s="14"/>
      <c r="G63" s="14"/>
      <c r="H63" s="14"/>
      <c r="I63" s="211">
        <v>7.4999999999999997E-2</v>
      </c>
      <c r="J63" s="211">
        <v>7.4999999999999997E-2</v>
      </c>
      <c r="K63" s="211">
        <v>7.2499999999999995E-2</v>
      </c>
      <c r="L63" s="211">
        <v>7.2499999999999995E-2</v>
      </c>
      <c r="M63" s="211">
        <v>7.0000000000000007E-2</v>
      </c>
      <c r="N63" s="211">
        <v>7.0000000000000007E-2</v>
      </c>
      <c r="O63" s="211">
        <v>7.0000000000000007E-2</v>
      </c>
      <c r="P63" s="211">
        <v>7.0000000000000007E-2</v>
      </c>
      <c r="Q63" s="211">
        <v>7.0000000000000007E-2</v>
      </c>
      <c r="R63" s="300">
        <v>7.0000000000000007E-2</v>
      </c>
      <c r="S63" s="294"/>
    </row>
    <row r="64" spans="3:20" ht="16" thickBot="1" x14ac:dyDescent="0.25">
      <c r="C64" s="205"/>
      <c r="I64" s="227"/>
      <c r="J64" s="227"/>
      <c r="K64" s="227"/>
      <c r="L64" s="227"/>
      <c r="M64" s="227"/>
      <c r="N64" s="227"/>
      <c r="O64" s="227"/>
      <c r="P64" s="227"/>
      <c r="Q64" s="227"/>
      <c r="R64" s="212"/>
    </row>
    <row r="65" spans="3:19" s="17" customFormat="1" ht="16" thickBot="1" x14ac:dyDescent="0.25">
      <c r="C65" s="206" t="s">
        <v>442</v>
      </c>
      <c r="D65" s="14"/>
      <c r="E65" s="14"/>
      <c r="F65" s="14"/>
      <c r="G65" s="14"/>
      <c r="H65" s="14"/>
      <c r="I65" s="208">
        <f>CHOOSE($I$54, I66,I67,I68)</f>
        <v>9.5000000000000001E-2</v>
      </c>
      <c r="J65" s="209">
        <f t="shared" ref="J65" si="56">CHOOSE($I$54, J66,J67,J68)</f>
        <v>9.7500000000000003E-2</v>
      </c>
      <c r="K65" s="209">
        <f t="shared" ref="K65" si="57">CHOOSE($I$54, K66,K67,K68)</f>
        <v>0.1</v>
      </c>
      <c r="L65" s="209">
        <f t="shared" ref="L65" si="58">CHOOSE($I$54, L66,L67,L68)</f>
        <v>0.10249999999999999</v>
      </c>
      <c r="M65" s="209">
        <f t="shared" ref="M65" si="59">CHOOSE($I$54, M66,M67,M68)</f>
        <v>0.10249999999999999</v>
      </c>
      <c r="N65" s="209">
        <f t="shared" ref="N65" si="60">CHOOSE($I$54, N66,N67,N68)</f>
        <v>0.10249999999999999</v>
      </c>
      <c r="O65" s="209">
        <f t="shared" ref="O65" si="61">CHOOSE($I$54, O66,O67,O68)</f>
        <v>0.10249999999999999</v>
      </c>
      <c r="P65" s="209">
        <f t="shared" ref="P65" si="62">CHOOSE($I$54, P66,P67,P68)</f>
        <v>0.10249999999999999</v>
      </c>
      <c r="Q65" s="209">
        <f t="shared" ref="Q65" si="63">CHOOSE($I$54, Q66,Q67,Q68)</f>
        <v>0.10249999999999999</v>
      </c>
      <c r="R65" s="210">
        <f t="shared" ref="R65" si="64">CHOOSE($I$54, R66,R67,R68)</f>
        <v>0.10249999999999999</v>
      </c>
    </row>
    <row r="66" spans="3:19" x14ac:dyDescent="0.2">
      <c r="C66" s="204" t="s">
        <v>222</v>
      </c>
      <c r="D66" s="14"/>
      <c r="E66" s="14"/>
      <c r="F66" s="14"/>
      <c r="G66" s="14"/>
      <c r="H66" s="14"/>
      <c r="I66" s="211">
        <v>9.7500000000000003E-2</v>
      </c>
      <c r="J66" s="211">
        <v>0.105</v>
      </c>
      <c r="K66" s="211">
        <v>0.11</v>
      </c>
      <c r="L66" s="211">
        <v>0.11</v>
      </c>
      <c r="M66" s="211">
        <v>0.11</v>
      </c>
      <c r="N66" s="211">
        <v>0.11</v>
      </c>
      <c r="O66" s="211">
        <v>0.11</v>
      </c>
      <c r="P66" s="211">
        <v>0.11</v>
      </c>
      <c r="Q66" s="211">
        <v>0.11</v>
      </c>
      <c r="R66" s="300">
        <v>0.11</v>
      </c>
      <c r="S66" s="297"/>
    </row>
    <row r="67" spans="3:19" x14ac:dyDescent="0.2">
      <c r="C67" s="204" t="s">
        <v>223</v>
      </c>
      <c r="D67" s="14"/>
      <c r="E67" s="226"/>
      <c r="F67" s="226"/>
      <c r="G67" s="226"/>
      <c r="H67" s="226"/>
      <c r="I67" s="211">
        <v>9.5000000000000001E-2</v>
      </c>
      <c r="J67" s="211">
        <v>9.7500000000000003E-2</v>
      </c>
      <c r="K67" s="211">
        <v>0.1</v>
      </c>
      <c r="L67" s="211">
        <v>0.10249999999999999</v>
      </c>
      <c r="M67" s="211">
        <v>0.10249999999999999</v>
      </c>
      <c r="N67" s="211">
        <v>0.10249999999999999</v>
      </c>
      <c r="O67" s="211">
        <v>0.10249999999999999</v>
      </c>
      <c r="P67" s="211">
        <v>0.10249999999999999</v>
      </c>
      <c r="Q67" s="211">
        <v>0.10249999999999999</v>
      </c>
      <c r="R67" s="300">
        <v>0.10249999999999999</v>
      </c>
      <c r="S67" s="297"/>
    </row>
    <row r="68" spans="3:19" x14ac:dyDescent="0.2">
      <c r="C68" s="204" t="s">
        <v>225</v>
      </c>
      <c r="D68" s="14"/>
      <c r="E68" s="14"/>
      <c r="F68" s="14"/>
      <c r="G68" s="14"/>
      <c r="H68" s="14"/>
      <c r="I68" s="211">
        <v>0.09</v>
      </c>
      <c r="J68" s="211">
        <v>8.5000000000000006E-2</v>
      </c>
      <c r="K68" s="211">
        <v>0.08</v>
      </c>
      <c r="L68" s="211">
        <v>0.08</v>
      </c>
      <c r="M68" s="211">
        <v>0.08</v>
      </c>
      <c r="N68" s="211">
        <v>0.08</v>
      </c>
      <c r="O68" s="211">
        <v>0.08</v>
      </c>
      <c r="P68" s="211">
        <v>0.08</v>
      </c>
      <c r="Q68" s="211">
        <v>0.08</v>
      </c>
      <c r="R68" s="300">
        <v>0.08</v>
      </c>
      <c r="S68" s="297"/>
    </row>
    <row r="69" spans="3:19" ht="16" thickBot="1" x14ac:dyDescent="0.25">
      <c r="C69" s="205"/>
      <c r="R69" s="298"/>
    </row>
    <row r="70" spans="3:19" s="17" customFormat="1" ht="16" thickBot="1" x14ac:dyDescent="0.25">
      <c r="C70" s="206" t="s">
        <v>443</v>
      </c>
      <c r="D70" s="14"/>
      <c r="E70" s="14"/>
      <c r="F70" s="14"/>
      <c r="G70" s="14"/>
      <c r="H70" s="14"/>
      <c r="I70" s="208">
        <f>CHOOSE($I$54, I71,I72,I73)</f>
        <v>0</v>
      </c>
      <c r="J70" s="209">
        <f t="shared" ref="J70:R70" si="65">CHOOSE($I$54, J71,J72,J73)</f>
        <v>0</v>
      </c>
      <c r="K70" s="209">
        <f t="shared" si="65"/>
        <v>0</v>
      </c>
      <c r="L70" s="209">
        <f t="shared" si="65"/>
        <v>0</v>
      </c>
      <c r="M70" s="209">
        <f t="shared" si="65"/>
        <v>0</v>
      </c>
      <c r="N70" s="209">
        <f t="shared" si="65"/>
        <v>0</v>
      </c>
      <c r="O70" s="209">
        <f t="shared" si="65"/>
        <v>0</v>
      </c>
      <c r="P70" s="209">
        <f t="shared" si="65"/>
        <v>0</v>
      </c>
      <c r="Q70" s="209">
        <f t="shared" si="65"/>
        <v>0</v>
      </c>
      <c r="R70" s="210">
        <f t="shared" si="65"/>
        <v>0</v>
      </c>
    </row>
    <row r="71" spans="3:19" x14ac:dyDescent="0.2">
      <c r="C71" s="204" t="s">
        <v>222</v>
      </c>
      <c r="D71" s="14"/>
      <c r="E71" s="14"/>
      <c r="F71" s="14"/>
      <c r="G71" s="14"/>
      <c r="H71" s="14"/>
      <c r="I71" s="211">
        <v>5.0000000000000001E-3</v>
      </c>
      <c r="J71" s="211">
        <v>5.0000000000000001E-3</v>
      </c>
      <c r="K71" s="211">
        <v>5.0000000000000001E-3</v>
      </c>
      <c r="L71" s="211">
        <v>5.0000000000000001E-3</v>
      </c>
      <c r="M71" s="211">
        <v>5.0000000000000001E-3</v>
      </c>
      <c r="N71" s="211">
        <v>5.0000000000000001E-3</v>
      </c>
      <c r="O71" s="211">
        <v>5.0000000000000001E-3</v>
      </c>
      <c r="P71" s="211">
        <v>5.0000000000000001E-3</v>
      </c>
      <c r="Q71" s="211">
        <v>5.0000000000000001E-3</v>
      </c>
      <c r="R71" s="300">
        <v>5.0000000000000001E-3</v>
      </c>
      <c r="S71" s="294"/>
    </row>
    <row r="72" spans="3:19" x14ac:dyDescent="0.2">
      <c r="C72" s="204" t="s">
        <v>223</v>
      </c>
      <c r="D72" s="14"/>
      <c r="E72" s="226"/>
      <c r="F72" s="226"/>
      <c r="G72" s="226"/>
      <c r="H72" s="226"/>
      <c r="I72" s="211">
        <v>0</v>
      </c>
      <c r="J72" s="211">
        <v>0</v>
      </c>
      <c r="K72" s="211">
        <v>0</v>
      </c>
      <c r="L72" s="211">
        <v>0</v>
      </c>
      <c r="M72" s="211">
        <v>0</v>
      </c>
      <c r="N72" s="211">
        <v>0</v>
      </c>
      <c r="O72" s="211">
        <v>0</v>
      </c>
      <c r="P72" s="211">
        <v>0</v>
      </c>
      <c r="Q72" s="211">
        <v>0</v>
      </c>
      <c r="R72" s="300">
        <v>0</v>
      </c>
      <c r="S72" s="294"/>
    </row>
    <row r="73" spans="3:19" ht="16" thickBot="1" x14ac:dyDescent="0.25">
      <c r="C73" s="207" t="s">
        <v>225</v>
      </c>
      <c r="D73" s="215"/>
      <c r="E73" s="215"/>
      <c r="F73" s="215"/>
      <c r="G73" s="215"/>
      <c r="H73" s="215"/>
      <c r="I73" s="213">
        <v>-5.0000000000000001E-3</v>
      </c>
      <c r="J73" s="213">
        <v>-5.0000000000000001E-3</v>
      </c>
      <c r="K73" s="213">
        <v>-5.0000000000000001E-3</v>
      </c>
      <c r="L73" s="213">
        <v>-5.0000000000000001E-3</v>
      </c>
      <c r="M73" s="213">
        <v>-5.0000000000000001E-3</v>
      </c>
      <c r="N73" s="213">
        <v>-5.0000000000000001E-3</v>
      </c>
      <c r="O73" s="213">
        <v>-5.0000000000000001E-3</v>
      </c>
      <c r="P73" s="213">
        <v>-5.0000000000000001E-3</v>
      </c>
      <c r="Q73" s="213">
        <v>-5.0000000000000001E-3</v>
      </c>
      <c r="R73" s="301">
        <v>-5.0000000000000001E-3</v>
      </c>
      <c r="S73" s="294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99AF-785F-435D-8BAE-2966F616D7F2}">
  <dimension ref="A1:R97"/>
  <sheetViews>
    <sheetView topLeftCell="A103" zoomScaleNormal="112" workbookViewId="0">
      <selection activeCell="B52" sqref="B52:D72"/>
    </sheetView>
  </sheetViews>
  <sheetFormatPr baseColWidth="10" defaultColWidth="9.33203125" defaultRowHeight="15" x14ac:dyDescent="0.2"/>
  <cols>
    <col min="1" max="1" width="9.33203125" style="1"/>
    <col min="2" max="2" width="28.33203125" style="1" customWidth="1"/>
    <col min="3" max="3" width="11.1640625" style="1" bestFit="1" customWidth="1"/>
    <col min="4" max="5" width="9.6640625" style="1" bestFit="1" customWidth="1"/>
    <col min="6" max="7" width="10.1640625" style="1" bestFit="1" customWidth="1"/>
    <col min="8" max="13" width="10.6640625" style="1" bestFit="1" customWidth="1"/>
    <col min="14" max="16" width="11.1640625" style="1" bestFit="1" customWidth="1"/>
    <col min="17" max="17" width="11.6640625" style="1" bestFit="1" customWidth="1"/>
    <col min="18" max="16384" width="9.33203125" style="1"/>
  </cols>
  <sheetData>
    <row r="1" spans="1:7" x14ac:dyDescent="0.2">
      <c r="A1" s="1" t="str">
        <f>Input!$A$5</f>
        <v>Last Edit:</v>
      </c>
      <c r="B1" s="202">
        <f ca="1">Input!$B$5</f>
        <v>46156</v>
      </c>
    </row>
    <row r="2" spans="1:7" x14ac:dyDescent="0.2">
      <c r="B2" s="63" t="s">
        <v>226</v>
      </c>
      <c r="C2" s="64"/>
      <c r="D2" s="64"/>
      <c r="E2" s="64"/>
      <c r="F2" s="65"/>
    </row>
    <row r="3" spans="1:7" x14ac:dyDescent="0.2">
      <c r="B3" s="66" t="s">
        <v>47</v>
      </c>
      <c r="F3" s="70">
        <v>5.5E-2</v>
      </c>
      <c r="G3" s="1" t="s">
        <v>360</v>
      </c>
    </row>
    <row r="4" spans="1:7" x14ac:dyDescent="0.2">
      <c r="B4" s="66" t="s">
        <v>227</v>
      </c>
      <c r="F4" s="71">
        <f>Model!H29</f>
        <v>0.25</v>
      </c>
    </row>
    <row r="5" spans="1:7" x14ac:dyDescent="0.2">
      <c r="B5" s="66" t="s">
        <v>228</v>
      </c>
      <c r="F5" s="71">
        <f>F3*(1-F4)</f>
        <v>4.1250000000000002E-2</v>
      </c>
    </row>
    <row r="6" spans="1:7" x14ac:dyDescent="0.2">
      <c r="B6" s="66" t="s">
        <v>229</v>
      </c>
      <c r="F6" s="70">
        <v>4.36E-2</v>
      </c>
      <c r="G6" s="1" t="s">
        <v>359</v>
      </c>
    </row>
    <row r="7" spans="1:7" x14ac:dyDescent="0.2">
      <c r="B7" s="66" t="s">
        <v>230</v>
      </c>
      <c r="F7" s="69">
        <v>0.73</v>
      </c>
      <c r="G7" s="1" t="s">
        <v>361</v>
      </c>
    </row>
    <row r="8" spans="1:7" x14ac:dyDescent="0.2">
      <c r="B8" s="66" t="s">
        <v>231</v>
      </c>
      <c r="F8" s="70">
        <v>4.4600000000000001E-2</v>
      </c>
      <c r="G8" s="1" t="s">
        <v>362</v>
      </c>
    </row>
    <row r="9" spans="1:7" x14ac:dyDescent="0.2">
      <c r="B9" s="66" t="s">
        <v>232</v>
      </c>
      <c r="F9" s="72">
        <f>(F8*F7+F6)</f>
        <v>7.6158000000000003E-2</v>
      </c>
    </row>
    <row r="10" spans="1:7" x14ac:dyDescent="0.2">
      <c r="B10" s="66" t="s">
        <v>233</v>
      </c>
      <c r="F10" s="73">
        <v>1E-3</v>
      </c>
    </row>
    <row r="11" spans="1:7" x14ac:dyDescent="0.2">
      <c r="B11" s="66" t="s">
        <v>234</v>
      </c>
      <c r="F11" s="67">
        <f>1-F10</f>
        <v>0.999</v>
      </c>
    </row>
    <row r="12" spans="1:7" x14ac:dyDescent="0.2">
      <c r="B12" s="68" t="s">
        <v>226</v>
      </c>
      <c r="C12" s="46"/>
      <c r="D12" s="46"/>
      <c r="E12" s="46"/>
      <c r="F12" s="74">
        <f>F5*F10+F9*F11</f>
        <v>7.6123092000000003E-2</v>
      </c>
    </row>
    <row r="14" spans="1:7" x14ac:dyDescent="0.2">
      <c r="B14" s="75" t="s">
        <v>235</v>
      </c>
      <c r="C14" s="60"/>
      <c r="D14" s="60"/>
      <c r="E14" s="60"/>
      <c r="F14" s="268">
        <f>Comps!O13</f>
        <v>13.37660657738239</v>
      </c>
    </row>
    <row r="15" spans="1:7" x14ac:dyDescent="0.2">
      <c r="B15" s="68" t="s">
        <v>236</v>
      </c>
      <c r="C15" s="46"/>
      <c r="D15" s="46"/>
      <c r="E15" s="46"/>
      <c r="F15" s="236">
        <v>2.5000000000000001E-2</v>
      </c>
    </row>
    <row r="17" spans="2:17" x14ac:dyDescent="0.2">
      <c r="B17" s="9" t="str">
        <f>Model!B6</f>
        <v>In Millions of USD</v>
      </c>
      <c r="C17" s="9" t="str">
        <f>Model!C6</f>
        <v>FY2021</v>
      </c>
      <c r="D17" s="9" t="str">
        <f>Model!D6</f>
        <v>FY2022</v>
      </c>
      <c r="E17" s="9" t="str">
        <f>Model!E6</f>
        <v>FY2023</v>
      </c>
      <c r="F17" s="9" t="str">
        <f>Model!F6</f>
        <v>FY2024</v>
      </c>
      <c r="G17" s="9" t="str">
        <f>Model!G6</f>
        <v>FY2025</v>
      </c>
      <c r="H17" s="10" t="str">
        <f>Model!H6</f>
        <v>FY2026 E</v>
      </c>
      <c r="I17" s="10" t="str">
        <f>Model!I6</f>
        <v>FY2027 E</v>
      </c>
      <c r="J17" s="10" t="str">
        <f>Model!J6</f>
        <v>FY2028 E</v>
      </c>
      <c r="K17" s="10" t="str">
        <f>Model!K6</f>
        <v>FY2029 E</v>
      </c>
      <c r="L17" s="10" t="str">
        <f>Model!L6</f>
        <v>FY2030 E</v>
      </c>
      <c r="M17" s="10" t="str">
        <f>Model!M6</f>
        <v>FY2031 E</v>
      </c>
      <c r="N17" s="10" t="str">
        <f>Model!N6</f>
        <v>FY2032 E</v>
      </c>
      <c r="O17" s="10" t="str">
        <f>Model!O6</f>
        <v>FY2033 E</v>
      </c>
      <c r="P17" s="10" t="str">
        <f>Model!P6</f>
        <v>FY2034 E</v>
      </c>
      <c r="Q17" s="10" t="str">
        <f>Model!Q6</f>
        <v>FY2035 E</v>
      </c>
    </row>
    <row r="18" spans="2:17" x14ac:dyDescent="0.2">
      <c r="B18" s="1" t="s">
        <v>35</v>
      </c>
      <c r="C18" s="37">
        <f>Model!C9</f>
        <v>6372.8</v>
      </c>
      <c r="D18" s="37">
        <f>Model!D9</f>
        <v>7806.6</v>
      </c>
      <c r="E18" s="37">
        <f>Model!E9</f>
        <v>8096.4</v>
      </c>
      <c r="F18" s="37">
        <f>Model!F9</f>
        <v>8359.4000000000015</v>
      </c>
      <c r="G18" s="37">
        <f>Model!G9</f>
        <v>8745.9</v>
      </c>
      <c r="H18" s="37">
        <f>Model!H9</f>
        <v>9287.8209999999999</v>
      </c>
      <c r="I18" s="37">
        <f>Model!I9</f>
        <v>9742.0358699999997</v>
      </c>
      <c r="J18" s="37">
        <f>Model!J9</f>
        <v>10178.1304894</v>
      </c>
      <c r="K18" s="37">
        <f>Model!K9</f>
        <v>10763.806371344001</v>
      </c>
      <c r="L18" s="37">
        <f>Model!L9</f>
        <v>11176.604809676963</v>
      </c>
      <c r="M18" s="37">
        <f>Model!M9</f>
        <v>11563.130522977346</v>
      </c>
      <c r="N18" s="37">
        <f>Model!N9</f>
        <v>12156.005206822405</v>
      </c>
      <c r="O18" s="37">
        <f>Model!O9</f>
        <v>12511.195859087278</v>
      </c>
      <c r="P18" s="37">
        <f>Model!P9</f>
        <v>13044.196721083523</v>
      </c>
      <c r="Q18" s="37">
        <f>Model!Q9</f>
        <v>13452.234209000329</v>
      </c>
    </row>
    <row r="19" spans="2:17" s="76" customFormat="1" x14ac:dyDescent="0.2">
      <c r="B19" s="78" t="s">
        <v>36</v>
      </c>
      <c r="C19" s="77"/>
      <c r="D19" s="77">
        <f>D18/C18-1</f>
        <v>0.2249874466482551</v>
      </c>
      <c r="E19" s="77">
        <f t="shared" ref="E19:Q19" si="0">E18/D18-1</f>
        <v>3.7122434862808307E-2</v>
      </c>
      <c r="F19" s="77">
        <f t="shared" si="0"/>
        <v>3.2483572946000905E-2</v>
      </c>
      <c r="G19" s="77">
        <f t="shared" si="0"/>
        <v>4.6235375744670515E-2</v>
      </c>
      <c r="H19" s="77">
        <f t="shared" si="0"/>
        <v>6.1962862598474722E-2</v>
      </c>
      <c r="I19" s="77">
        <f t="shared" si="0"/>
        <v>4.8904352269493634E-2</v>
      </c>
      <c r="J19" s="77">
        <f t="shared" si="0"/>
        <v>4.4764218200317618E-2</v>
      </c>
      <c r="K19" s="77">
        <f t="shared" si="0"/>
        <v>5.7542579411214323E-2</v>
      </c>
      <c r="L19" s="77">
        <f t="shared" si="0"/>
        <v>3.8350600530304702E-2</v>
      </c>
      <c r="M19" s="77">
        <f t="shared" si="0"/>
        <v>3.4583464288342691E-2</v>
      </c>
      <c r="N19" s="77">
        <f t="shared" si="0"/>
        <v>5.1272852335874308E-2</v>
      </c>
      <c r="O19" s="77">
        <f t="shared" si="0"/>
        <v>2.9219356706554178E-2</v>
      </c>
      <c r="P19" s="77">
        <f t="shared" si="0"/>
        <v>4.2601911759626798E-2</v>
      </c>
      <c r="Q19" s="77">
        <f t="shared" si="0"/>
        <v>3.1281151046832267E-2</v>
      </c>
    </row>
    <row r="20" spans="2:17" x14ac:dyDescent="0.2">
      <c r="B20" s="44" t="s">
        <v>310</v>
      </c>
      <c r="C20" s="37">
        <f>Model!C10</f>
        <v>5788.4000000000005</v>
      </c>
      <c r="D20" s="37">
        <f>Model!D10</f>
        <v>7169.7000000000007</v>
      </c>
      <c r="E20" s="37">
        <f>Model!E10</f>
        <v>7456.2</v>
      </c>
      <c r="F20" s="37">
        <f>Model!F10</f>
        <v>7702.3000000000011</v>
      </c>
      <c r="G20" s="37">
        <f>Model!G10</f>
        <v>8058.2</v>
      </c>
      <c r="H20" s="37">
        <f>Model!H10</f>
        <v>8549.9289050000007</v>
      </c>
      <c r="I20" s="37">
        <f>Model!I10</f>
        <v>8941.7986935499994</v>
      </c>
      <c r="J20" s="37">
        <f>Model!J10</f>
        <v>9312.3273299350003</v>
      </c>
      <c r="K20" s="37">
        <f>Model!K10</f>
        <v>9850.3682572047401</v>
      </c>
      <c r="L20" s="37">
        <f>Model!L10</f>
        <v>10215.666623276022</v>
      </c>
      <c r="M20" s="37">
        <f>Model!M10</f>
        <v>10568.116100828811</v>
      </c>
      <c r="N20" s="37">
        <f>Model!N10</f>
        <v>11103.762044132893</v>
      </c>
      <c r="O20" s="37">
        <f>Model!O10</f>
        <v>11426.526995072436</v>
      </c>
      <c r="P20" s="37">
        <f>Model!P10</f>
        <v>11907.768178170358</v>
      </c>
      <c r="Q20" s="37">
        <f>Model!Q10</f>
        <v>12278.02695087165</v>
      </c>
    </row>
    <row r="21" spans="2:17" s="76" customFormat="1" x14ac:dyDescent="0.2">
      <c r="B21" s="78" t="s">
        <v>456</v>
      </c>
      <c r="C21" s="77">
        <f>C20/C18</f>
        <v>0.90829776550338948</v>
      </c>
      <c r="D21" s="77">
        <f t="shared" ref="D21:Q21" si="1">D20/D18</f>
        <v>0.91841518714933523</v>
      </c>
      <c r="E21" s="77">
        <f t="shared" si="1"/>
        <v>0.92092781977175042</v>
      </c>
      <c r="F21" s="77">
        <f t="shared" si="1"/>
        <v>0.92139387994353661</v>
      </c>
      <c r="G21" s="77">
        <f t="shared" si="1"/>
        <v>0.92136886998479284</v>
      </c>
      <c r="H21" s="77">
        <f t="shared" si="1"/>
        <v>0.92055272221546913</v>
      </c>
      <c r="I21" s="77">
        <f t="shared" si="1"/>
        <v>0.91785729521749337</v>
      </c>
      <c r="J21" s="77">
        <f t="shared" si="1"/>
        <v>0.91493495191806695</v>
      </c>
      <c r="K21" s="77">
        <f t="shared" si="1"/>
        <v>0.9151380020574259</v>
      </c>
      <c r="L21" s="77">
        <f t="shared" si="1"/>
        <v>0.91402235269435861</v>
      </c>
      <c r="M21" s="77">
        <f t="shared" si="1"/>
        <v>0.91394939111243956</v>
      </c>
      <c r="N21" s="77">
        <f t="shared" si="1"/>
        <v>0.91343840803071108</v>
      </c>
      <c r="O21" s="77">
        <f t="shared" si="1"/>
        <v>0.91330414164789753</v>
      </c>
      <c r="P21" s="77">
        <f t="shared" si="1"/>
        <v>0.91287861052598673</v>
      </c>
      <c r="Q21" s="77">
        <f t="shared" si="1"/>
        <v>0.91271284458138069</v>
      </c>
    </row>
    <row r="22" spans="2:17" x14ac:dyDescent="0.2">
      <c r="B22" s="44" t="s">
        <v>304</v>
      </c>
      <c r="C22" s="37">
        <f>C18-C20</f>
        <v>584.39999999999964</v>
      </c>
      <c r="D22" s="37">
        <f t="shared" ref="D22:Q22" si="2">D18-D20</f>
        <v>636.89999999999964</v>
      </c>
      <c r="E22" s="37">
        <f t="shared" si="2"/>
        <v>640.19999999999982</v>
      </c>
      <c r="F22" s="37">
        <f t="shared" si="2"/>
        <v>657.10000000000036</v>
      </c>
      <c r="G22" s="37">
        <f t="shared" si="2"/>
        <v>687.69999999999982</v>
      </c>
      <c r="H22" s="37">
        <f t="shared" si="2"/>
        <v>737.89209499999924</v>
      </c>
      <c r="I22" s="37">
        <f t="shared" si="2"/>
        <v>800.23717645000033</v>
      </c>
      <c r="J22" s="37">
        <f t="shared" si="2"/>
        <v>865.80315946500014</v>
      </c>
      <c r="K22" s="37">
        <f t="shared" si="2"/>
        <v>913.43811413926051</v>
      </c>
      <c r="L22" s="37">
        <f t="shared" si="2"/>
        <v>960.93818640094105</v>
      </c>
      <c r="M22" s="37">
        <f t="shared" si="2"/>
        <v>995.01442214853523</v>
      </c>
      <c r="N22" s="37">
        <f t="shared" si="2"/>
        <v>1052.2431626895122</v>
      </c>
      <c r="O22" s="37">
        <f t="shared" si="2"/>
        <v>1084.6688640148423</v>
      </c>
      <c r="P22" s="37">
        <f t="shared" si="2"/>
        <v>1136.4285429131651</v>
      </c>
      <c r="Q22" s="37">
        <f t="shared" si="2"/>
        <v>1174.2072581286793</v>
      </c>
    </row>
    <row r="23" spans="2:17" s="76" customFormat="1" x14ac:dyDescent="0.2">
      <c r="B23" s="78" t="s">
        <v>449</v>
      </c>
      <c r="C23" s="77">
        <f>1-C21</f>
        <v>9.1702234496610524E-2</v>
      </c>
      <c r="D23" s="77">
        <f t="shared" ref="D23:Q23" si="3">1-D21</f>
        <v>8.1584812850664767E-2</v>
      </c>
      <c r="E23" s="77">
        <f t="shared" si="3"/>
        <v>7.9072180228249578E-2</v>
      </c>
      <c r="F23" s="77">
        <f t="shared" si="3"/>
        <v>7.8606120056463391E-2</v>
      </c>
      <c r="G23" s="77">
        <f t="shared" si="3"/>
        <v>7.8631130015207162E-2</v>
      </c>
      <c r="H23" s="77">
        <f t="shared" si="3"/>
        <v>7.9447277784530868E-2</v>
      </c>
      <c r="I23" s="77">
        <f t="shared" si="3"/>
        <v>8.2142704782506626E-2</v>
      </c>
      <c r="J23" s="77">
        <f t="shared" si="3"/>
        <v>8.5065048081933048E-2</v>
      </c>
      <c r="K23" s="77">
        <f t="shared" si="3"/>
        <v>8.4861997942574097E-2</v>
      </c>
      <c r="L23" s="77">
        <f t="shared" si="3"/>
        <v>8.5977647305641391E-2</v>
      </c>
      <c r="M23" s="77">
        <f t="shared" si="3"/>
        <v>8.6050608887560442E-2</v>
      </c>
      <c r="N23" s="77">
        <f t="shared" si="3"/>
        <v>8.656159196928892E-2</v>
      </c>
      <c r="O23" s="77">
        <f t="shared" si="3"/>
        <v>8.6695858352102473E-2</v>
      </c>
      <c r="P23" s="77">
        <f t="shared" si="3"/>
        <v>8.7121389474013267E-2</v>
      </c>
      <c r="Q23" s="77">
        <f t="shared" si="3"/>
        <v>8.7287155418619311E-2</v>
      </c>
    </row>
    <row r="24" spans="2:17" x14ac:dyDescent="0.2">
      <c r="B24" s="1" t="s">
        <v>237</v>
      </c>
      <c r="C24" s="37">
        <f>Model!C19</f>
        <v>209.79999999999995</v>
      </c>
      <c r="D24" s="37">
        <f>Model!D19</f>
        <v>352.39999999999986</v>
      </c>
      <c r="E24" s="37">
        <f>Model!E19</f>
        <v>409.40000000000009</v>
      </c>
      <c r="F24" s="37">
        <f>Model!F19</f>
        <v>213</v>
      </c>
      <c r="G24" s="37">
        <f>Model!G19</f>
        <v>311.80000000000007</v>
      </c>
      <c r="H24" s="37">
        <f>Model!H19</f>
        <v>314.5992550000002</v>
      </c>
      <c r="I24" s="37">
        <f>Model!I19</f>
        <v>364.87574165000001</v>
      </c>
      <c r="J24" s="37">
        <f>Model!J19</f>
        <v>418.3979398890001</v>
      </c>
      <c r="K24" s="37">
        <f>Model!K19</f>
        <v>443.9058592854999</v>
      </c>
      <c r="L24" s="37">
        <f>Model!L19</f>
        <v>479.99399401386256</v>
      </c>
      <c r="M24" s="37">
        <f>Model!M19</f>
        <v>501.06920122944103</v>
      </c>
      <c r="N24" s="37">
        <f>Model!N19</f>
        <v>531.79695441661534</v>
      </c>
      <c r="O24" s="37">
        <f>Model!O19</f>
        <v>552.00762965135016</v>
      </c>
      <c r="P24" s="37">
        <f>Model!P19</f>
        <v>580.24061406982503</v>
      </c>
      <c r="Q24" s="37">
        <f>Model!Q19</f>
        <v>603.31183576866567</v>
      </c>
    </row>
    <row r="25" spans="2:17" s="76" customFormat="1" x14ac:dyDescent="0.2">
      <c r="B25" s="78" t="s">
        <v>238</v>
      </c>
      <c r="C25" s="77">
        <f>C24/C18</f>
        <v>3.2921164951041922E-2</v>
      </c>
      <c r="D25" s="77">
        <f t="shared" ref="D25:Q25" si="4">D24/D18</f>
        <v>4.5141290702738687E-2</v>
      </c>
      <c r="E25" s="77">
        <f t="shared" si="4"/>
        <v>5.0565683513660406E-2</v>
      </c>
      <c r="F25" s="77">
        <f t="shared" si="4"/>
        <v>2.5480297629016432E-2</v>
      </c>
      <c r="G25" s="77">
        <f t="shared" si="4"/>
        <v>3.5650990749951414E-2</v>
      </c>
      <c r="H25" s="77">
        <f t="shared" si="4"/>
        <v>3.3872234940789683E-2</v>
      </c>
      <c r="I25" s="77">
        <f t="shared" si="4"/>
        <v>3.7453746477531705E-2</v>
      </c>
      <c r="J25" s="77">
        <f t="shared" si="4"/>
        <v>4.1107543308148788E-2</v>
      </c>
      <c r="K25" s="77">
        <f t="shared" si="4"/>
        <v>4.1240602438491515E-2</v>
      </c>
      <c r="L25" s="77">
        <f t="shared" si="4"/>
        <v>4.2946315288724592E-2</v>
      </c>
      <c r="M25" s="77">
        <f t="shared" si="4"/>
        <v>4.3333351658857058E-2</v>
      </c>
      <c r="N25" s="77">
        <f t="shared" si="4"/>
        <v>4.3747674122264359E-2</v>
      </c>
      <c r="O25" s="77">
        <f t="shared" si="4"/>
        <v>4.4121092489364994E-2</v>
      </c>
      <c r="P25" s="77">
        <f t="shared" si="4"/>
        <v>4.4482663553515239E-2</v>
      </c>
      <c r="Q25" s="77">
        <f t="shared" si="4"/>
        <v>4.4848448695980543E-2</v>
      </c>
    </row>
    <row r="26" spans="2:17" x14ac:dyDescent="0.2">
      <c r="B26" s="1" t="s">
        <v>88</v>
      </c>
      <c r="C26" s="37">
        <f>Model!C34</f>
        <v>299.69999999999993</v>
      </c>
      <c r="D26" s="37">
        <f>Model!D34</f>
        <v>464.79999999999984</v>
      </c>
      <c r="E26" s="37">
        <f>Model!E34</f>
        <v>530.10000000000014</v>
      </c>
      <c r="F26" s="37">
        <f>Model!F34</f>
        <v>319.60000000000002</v>
      </c>
      <c r="G26" s="37">
        <f>Model!G34</f>
        <v>417.40000000000009</v>
      </c>
      <c r="H26" s="37">
        <f>Model!H34</f>
        <v>420.85925500000019</v>
      </c>
      <c r="I26" s="37">
        <f>Model!I34</f>
        <v>468.41147840436491</v>
      </c>
      <c r="J26" s="37">
        <f>Model!J34</f>
        <v>519.36307397441158</v>
      </c>
      <c r="K26" s="37">
        <f>Model!K34</f>
        <v>546.2875159546262</v>
      </c>
      <c r="L26" s="37">
        <f>Model!L34</f>
        <v>580.92394554667464</v>
      </c>
      <c r="M26" s="37">
        <f>Model!M34</f>
        <v>602.11055866906429</v>
      </c>
      <c r="N26" s="37">
        <f>Model!N34</f>
        <v>638.03205958495778</v>
      </c>
      <c r="O26" s="37">
        <f>Model!O34</f>
        <v>659.94327249287414</v>
      </c>
      <c r="P26" s="37">
        <f>Model!P34</f>
        <v>692.59547213555584</v>
      </c>
      <c r="Q26" s="37">
        <f>Model!Q34</f>
        <v>717.37285922459705</v>
      </c>
    </row>
    <row r="27" spans="2:17" s="76" customFormat="1" x14ac:dyDescent="0.2">
      <c r="B27" s="78" t="s">
        <v>239</v>
      </c>
      <c r="C27" s="77">
        <f>C26/C18</f>
        <v>4.7027993974391148E-2</v>
      </c>
      <c r="D27" s="77">
        <f t="shared" ref="D27:Q27" si="5">D26/D18</f>
        <v>5.9539364127789283E-2</v>
      </c>
      <c r="E27" s="77">
        <f t="shared" si="5"/>
        <v>6.5473543797243239E-2</v>
      </c>
      <c r="F27" s="77">
        <f t="shared" si="5"/>
        <v>3.8232409024571139E-2</v>
      </c>
      <c r="G27" s="77">
        <f t="shared" si="5"/>
        <v>4.7725219817285829E-2</v>
      </c>
      <c r="H27" s="77">
        <f t="shared" si="5"/>
        <v>4.531302390517649E-2</v>
      </c>
      <c r="I27" s="77">
        <f t="shared" si="5"/>
        <v>4.8081477491456304E-2</v>
      </c>
      <c r="J27" s="77">
        <f t="shared" si="5"/>
        <v>5.1027354632100806E-2</v>
      </c>
      <c r="K27" s="77">
        <f t="shared" si="5"/>
        <v>5.0752261524230222E-2</v>
      </c>
      <c r="L27" s="77">
        <f t="shared" si="5"/>
        <v>5.19767814500963E-2</v>
      </c>
      <c r="M27" s="77">
        <f t="shared" si="5"/>
        <v>5.2071587142651157E-2</v>
      </c>
      <c r="N27" s="77">
        <f t="shared" si="5"/>
        <v>5.2486984723144926E-2</v>
      </c>
      <c r="O27" s="77">
        <f t="shared" si="5"/>
        <v>5.2748216871174342E-2</v>
      </c>
      <c r="P27" s="77">
        <f t="shared" si="5"/>
        <v>5.3096061562465081E-2</v>
      </c>
      <c r="Q27" s="77">
        <f t="shared" si="5"/>
        <v>5.332741372764925E-2</v>
      </c>
    </row>
    <row r="28" spans="2:17" x14ac:dyDescent="0.2">
      <c r="B28" s="1" t="s">
        <v>240</v>
      </c>
      <c r="C28" s="37">
        <f>Model!C26</f>
        <v>-53.5</v>
      </c>
      <c r="D28" s="37">
        <f>Model!D26</f>
        <v>-79.599999999999994</v>
      </c>
      <c r="E28" s="37">
        <f>Model!E26</f>
        <v>-79.8</v>
      </c>
      <c r="F28" s="37">
        <f>Model!F26</f>
        <v>-52.2</v>
      </c>
      <c r="G28" s="37">
        <f>Model!G26</f>
        <v>-57.5</v>
      </c>
      <c r="H28" s="37">
        <f>Model!H26</f>
        <v>-57.076063750000046</v>
      </c>
      <c r="I28" s="37">
        <f>Model!I26</f>
        <v>-68.220852334414118</v>
      </c>
      <c r="J28" s="37">
        <f>Model!J26</f>
        <v>-82.694408889873401</v>
      </c>
      <c r="K28" s="37">
        <f>Model!K26</f>
        <v>-90.107786887799904</v>
      </c>
      <c r="L28" s="37">
        <f>Model!L26</f>
        <v>-98.325021396847745</v>
      </c>
      <c r="M28" s="37">
        <f>Model!M26</f>
        <v>-105.32266551872976</v>
      </c>
      <c r="N28" s="37">
        <f>Model!N26</f>
        <v>-114.8404383542583</v>
      </c>
      <c r="O28" s="37">
        <f>Model!O26</f>
        <v>-119.22134748606456</v>
      </c>
      <c r="P28" s="37">
        <f>Model!P26</f>
        <v>-128.95044037093766</v>
      </c>
      <c r="Q28" s="37">
        <f>Model!Q26</f>
        <v>-134.72134722000331</v>
      </c>
    </row>
    <row r="29" spans="2:17" x14ac:dyDescent="0.2">
      <c r="B29" s="79" t="s">
        <v>241</v>
      </c>
      <c r="C29" s="80">
        <f>C24+C28</f>
        <v>156.29999999999995</v>
      </c>
      <c r="D29" s="80">
        <f t="shared" ref="D29:Q29" si="6">D24+D28</f>
        <v>272.79999999999984</v>
      </c>
      <c r="E29" s="80">
        <f t="shared" si="6"/>
        <v>329.60000000000008</v>
      </c>
      <c r="F29" s="80">
        <f t="shared" si="6"/>
        <v>160.80000000000001</v>
      </c>
      <c r="G29" s="80">
        <f t="shared" si="6"/>
        <v>254.30000000000007</v>
      </c>
      <c r="H29" s="80">
        <f t="shared" si="6"/>
        <v>257.52319125000014</v>
      </c>
      <c r="I29" s="80">
        <f t="shared" si="6"/>
        <v>296.65488931558588</v>
      </c>
      <c r="J29" s="80">
        <f t="shared" si="6"/>
        <v>335.70353099912671</v>
      </c>
      <c r="K29" s="80">
        <f t="shared" si="6"/>
        <v>353.79807239770003</v>
      </c>
      <c r="L29" s="80">
        <f t="shared" si="6"/>
        <v>381.66897261701479</v>
      </c>
      <c r="M29" s="80">
        <f t="shared" si="6"/>
        <v>395.74653571071127</v>
      </c>
      <c r="N29" s="80">
        <f t="shared" si="6"/>
        <v>416.95651606235703</v>
      </c>
      <c r="O29" s="80">
        <f t="shared" si="6"/>
        <v>432.78628216528557</v>
      </c>
      <c r="P29" s="80">
        <f t="shared" si="6"/>
        <v>451.29017369888737</v>
      </c>
      <c r="Q29" s="80">
        <f t="shared" si="6"/>
        <v>468.59048854866239</v>
      </c>
    </row>
    <row r="30" spans="2:17" x14ac:dyDescent="0.2">
      <c r="B30" s="1" t="s">
        <v>242</v>
      </c>
      <c r="C30" s="37">
        <f>Model!C35</f>
        <v>-34.299999999999997</v>
      </c>
      <c r="D30" s="37">
        <f>Model!D35</f>
        <v>-50.8</v>
      </c>
      <c r="E30" s="37">
        <f>Model!E35</f>
        <v>-52.6</v>
      </c>
      <c r="F30" s="37">
        <f>Model!F35</f>
        <v>-59.4</v>
      </c>
      <c r="G30" s="37">
        <f>Model!G35</f>
        <v>-79.3</v>
      </c>
      <c r="H30" s="37">
        <f>Model!H35</f>
        <v>-65.014747</v>
      </c>
      <c r="I30" s="37">
        <f>Model!I35</f>
        <v>-68.194251089999995</v>
      </c>
      <c r="J30" s="37">
        <f>Model!J35</f>
        <v>-71.246913425800003</v>
      </c>
      <c r="K30" s="37">
        <f>Model!K35</f>
        <v>-75.346644599408009</v>
      </c>
      <c r="L30" s="37">
        <f>Model!L35</f>
        <v>-78.236233667738745</v>
      </c>
      <c r="M30" s="37">
        <f>Model!M35</f>
        <v>-80.941913660841422</v>
      </c>
      <c r="N30" s="37">
        <f>Model!N35</f>
        <v>-85.09203644775684</v>
      </c>
      <c r="O30" s="37">
        <f>Model!O35</f>
        <v>-87.578371013610948</v>
      </c>
      <c r="P30" s="37">
        <f>Model!P35</f>
        <v>-91.309377047584661</v>
      </c>
      <c r="Q30" s="37">
        <f>Model!Q35</f>
        <v>-94.165639463002307</v>
      </c>
    </row>
    <row r="31" spans="2:17" x14ac:dyDescent="0.2">
      <c r="B31" s="194" t="s">
        <v>363</v>
      </c>
      <c r="C31" s="243">
        <f>-Input!F63</f>
        <v>-710.1</v>
      </c>
      <c r="D31" s="243">
        <f>-Input!G63</f>
        <v>-194.6</v>
      </c>
      <c r="E31" s="243">
        <f>-Input!H63</f>
        <v>0</v>
      </c>
      <c r="F31" s="243">
        <f>-Input!I63</f>
        <v>-114.3</v>
      </c>
      <c r="G31" s="243">
        <f>-Input!J63</f>
        <v>-36.700000000000003</v>
      </c>
      <c r="H31" s="243">
        <f>-Input!K63</f>
        <v>-264</v>
      </c>
      <c r="I31" s="243">
        <f>-Input!L63</f>
        <v>0</v>
      </c>
      <c r="J31" s="243">
        <f>-Input!M63</f>
        <v>0</v>
      </c>
      <c r="K31" s="243">
        <f>-Input!N63</f>
        <v>-200</v>
      </c>
      <c r="L31" s="243">
        <f>-Input!O63</f>
        <v>0</v>
      </c>
      <c r="M31" s="243">
        <f>-Input!P63</f>
        <v>0</v>
      </c>
      <c r="N31" s="243">
        <f>-Input!Q63</f>
        <v>-250</v>
      </c>
      <c r="O31" s="243">
        <f>-Input!R63</f>
        <v>0</v>
      </c>
      <c r="P31" s="243">
        <f>-Input!S63</f>
        <v>-200</v>
      </c>
      <c r="Q31" s="243">
        <f>-Input!T63</f>
        <v>0</v>
      </c>
    </row>
    <row r="32" spans="2:17" x14ac:dyDescent="0.2">
      <c r="B32" s="1" t="s">
        <v>243</v>
      </c>
      <c r="C32" s="37">
        <f>Model!C33</f>
        <v>89.9</v>
      </c>
      <c r="D32" s="37">
        <f>Model!D33</f>
        <v>112.4</v>
      </c>
      <c r="E32" s="37">
        <f>Model!E33</f>
        <v>120.7</v>
      </c>
      <c r="F32" s="37">
        <f>Model!F33</f>
        <v>106.6</v>
      </c>
      <c r="G32" s="37">
        <f>Model!G33</f>
        <v>105.6</v>
      </c>
      <c r="H32" s="37">
        <f>Model!H33</f>
        <v>106.25999999999999</v>
      </c>
      <c r="I32" s="37">
        <f>Model!I33</f>
        <v>103.5357367543649</v>
      </c>
      <c r="J32" s="37">
        <f>Model!J33</f>
        <v>100.96513408541145</v>
      </c>
      <c r="K32" s="37">
        <f>Model!K33</f>
        <v>102.38165666912633</v>
      </c>
      <c r="L32" s="37">
        <f>Model!L33</f>
        <v>100.92995153281208</v>
      </c>
      <c r="M32" s="37">
        <f>Model!M33</f>
        <v>101.04135743962324</v>
      </c>
      <c r="N32" s="37">
        <f>Model!N33</f>
        <v>106.23510516834241</v>
      </c>
      <c r="O32" s="37">
        <f>Model!O33</f>
        <v>107.935642841524</v>
      </c>
      <c r="P32" s="37">
        <f>Model!P33</f>
        <v>112.3548580657308</v>
      </c>
      <c r="Q32" s="37">
        <f>Model!Q33</f>
        <v>114.06102345593139</v>
      </c>
    </row>
    <row r="33" spans="2:18" ht="14" customHeight="1" x14ac:dyDescent="0.2">
      <c r="B33" s="1" t="s">
        <v>244</v>
      </c>
      <c r="C33" s="37">
        <f>Model!C36</f>
        <v>156.30000000000001</v>
      </c>
      <c r="D33" s="37">
        <f>Model!D36</f>
        <v>-272.79999999999995</v>
      </c>
      <c r="E33" s="37">
        <f>Model!E36</f>
        <v>-304.39999999999998</v>
      </c>
      <c r="F33" s="37">
        <f>Model!F36</f>
        <v>-88.40000000000002</v>
      </c>
      <c r="G33" s="37">
        <f>Model!G36</f>
        <v>3.2000000000000028</v>
      </c>
      <c r="H33" s="37">
        <f>Model!H36</f>
        <v>-20.50022059942782</v>
      </c>
      <c r="I33" s="37">
        <f>Model!I36</f>
        <v>-68.910983241870383</v>
      </c>
      <c r="J33" s="37">
        <f>Model!J36</f>
        <v>-66.454702552352643</v>
      </c>
      <c r="K33" s="37">
        <f>Model!K36</f>
        <v>-77.611555249200507</v>
      </c>
      <c r="L33" s="37">
        <f>Model!L36</f>
        <v>-62.213478807103513</v>
      </c>
      <c r="M33" s="37">
        <f>Model!M36</f>
        <v>-57.869826400623481</v>
      </c>
      <c r="N33" s="37">
        <f>Model!N36</f>
        <v>-76.811165177771159</v>
      </c>
      <c r="O33" s="37">
        <f>Model!O36</f>
        <v>-53.243953650546246</v>
      </c>
      <c r="P33" s="37">
        <f>Model!P36</f>
        <v>-70.292310141027542</v>
      </c>
      <c r="Q33" s="37">
        <f>Model!Q36</f>
        <v>-61.222997217435875</v>
      </c>
    </row>
    <row r="34" spans="2:18" x14ac:dyDescent="0.2">
      <c r="B34" s="1" t="s">
        <v>245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1" t="s">
        <v>364</v>
      </c>
    </row>
    <row r="35" spans="2:18" s="7" customFormat="1" x14ac:dyDescent="0.2">
      <c r="B35" s="79" t="s">
        <v>246</v>
      </c>
      <c r="C35" s="195">
        <f t="shared" ref="C35:Q35" si="7">SUM(C29:C34)</f>
        <v>-341.90000000000003</v>
      </c>
      <c r="D35" s="195">
        <f t="shared" si="7"/>
        <v>-133.00000000000011</v>
      </c>
      <c r="E35" s="195">
        <f t="shared" si="7"/>
        <v>93.300000000000068</v>
      </c>
      <c r="F35" s="195">
        <f t="shared" si="7"/>
        <v>5.2999999999999829</v>
      </c>
      <c r="G35" s="195">
        <f t="shared" si="7"/>
        <v>247.10000000000008</v>
      </c>
      <c r="H35" s="195">
        <f t="shared" si="7"/>
        <v>14.26822365057231</v>
      </c>
      <c r="I35" s="195">
        <f t="shared" si="7"/>
        <v>263.08539173808043</v>
      </c>
      <c r="J35" s="195">
        <f t="shared" si="7"/>
        <v>298.9670491063855</v>
      </c>
      <c r="K35" s="195">
        <f t="shared" si="7"/>
        <v>103.22152921821782</v>
      </c>
      <c r="L35" s="195">
        <f t="shared" si="7"/>
        <v>342.1492116749846</v>
      </c>
      <c r="M35" s="195">
        <f t="shared" si="7"/>
        <v>357.97615308886964</v>
      </c>
      <c r="N35" s="195">
        <f t="shared" si="7"/>
        <v>111.28841960517147</v>
      </c>
      <c r="O35" s="195">
        <f t="shared" si="7"/>
        <v>399.89960034265238</v>
      </c>
      <c r="P35" s="195">
        <f t="shared" si="7"/>
        <v>202.04334457600601</v>
      </c>
      <c r="Q35" s="195">
        <f t="shared" si="7"/>
        <v>427.26287532415557</v>
      </c>
    </row>
    <row r="36" spans="2:18" s="7" customFormat="1" x14ac:dyDescent="0.2">
      <c r="B36" s="7" t="s">
        <v>246</v>
      </c>
      <c r="H36" s="156">
        <f>H35</f>
        <v>14.26822365057231</v>
      </c>
      <c r="I36" s="156">
        <f>I35</f>
        <v>263.08539173808043</v>
      </c>
      <c r="J36" s="156">
        <f t="shared" ref="J36:Q36" si="8">J35</f>
        <v>298.9670491063855</v>
      </c>
      <c r="K36" s="156">
        <f t="shared" si="8"/>
        <v>103.22152921821782</v>
      </c>
      <c r="L36" s="156">
        <f t="shared" si="8"/>
        <v>342.1492116749846</v>
      </c>
      <c r="M36" s="156">
        <f t="shared" si="8"/>
        <v>357.97615308886964</v>
      </c>
      <c r="N36" s="156">
        <f t="shared" si="8"/>
        <v>111.28841960517147</v>
      </c>
      <c r="O36" s="156">
        <f t="shared" si="8"/>
        <v>399.89960034265238</v>
      </c>
      <c r="P36" s="156">
        <f t="shared" si="8"/>
        <v>202.04334457600601</v>
      </c>
      <c r="Q36" s="156">
        <f t="shared" si="8"/>
        <v>427.26287532415557</v>
      </c>
    </row>
    <row r="37" spans="2:18" x14ac:dyDescent="0.2">
      <c r="B37" s="1" t="s">
        <v>247</v>
      </c>
      <c r="H37" s="84">
        <f>H35/G35-1</f>
        <v>-0.94225728996126146</v>
      </c>
      <c r="I37" s="84">
        <f t="shared" ref="I37:Q37" si="9">I35/H35-1</f>
        <v>17.438552561343393</v>
      </c>
      <c r="J37" s="84">
        <f t="shared" si="9"/>
        <v>0.13638787441314015</v>
      </c>
      <c r="K37" s="84">
        <f t="shared" si="9"/>
        <v>-0.65473944527750572</v>
      </c>
      <c r="L37" s="84">
        <f t="shared" si="9"/>
        <v>2.3147078353359429</v>
      </c>
      <c r="M37" s="84">
        <f t="shared" si="9"/>
        <v>4.6257424754552412E-2</v>
      </c>
      <c r="N37" s="84">
        <f t="shared" si="9"/>
        <v>-0.68911778439737725</v>
      </c>
      <c r="O37" s="84">
        <f t="shared" si="9"/>
        <v>2.5933622003207009</v>
      </c>
      <c r="P37" s="84">
        <f t="shared" si="9"/>
        <v>-0.49476482496385099</v>
      </c>
      <c r="Q37" s="84">
        <f t="shared" si="9"/>
        <v>1.1147089809900912</v>
      </c>
    </row>
    <row r="38" spans="2:18" x14ac:dyDescent="0.2">
      <c r="B38" s="1" t="s">
        <v>248</v>
      </c>
      <c r="C38" s="24">
        <f t="shared" ref="C38:Q38" si="10">C35/C29</f>
        <v>-2.1874600127959063</v>
      </c>
      <c r="D38" s="24">
        <f t="shared" si="10"/>
        <v>-0.48753665689149628</v>
      </c>
      <c r="E38" s="24">
        <f t="shared" si="10"/>
        <v>0.2830703883495147</v>
      </c>
      <c r="F38" s="24">
        <f t="shared" si="10"/>
        <v>3.2960199004975016E-2</v>
      </c>
      <c r="G38" s="24">
        <f t="shared" si="10"/>
        <v>0.97168698387731034</v>
      </c>
      <c r="H38" s="24">
        <f t="shared" si="10"/>
        <v>5.5405587284451226E-2</v>
      </c>
      <c r="I38" s="24">
        <f t="shared" si="10"/>
        <v>0.88683989785250528</v>
      </c>
      <c r="J38" s="24">
        <f t="shared" si="10"/>
        <v>0.89056867592841382</v>
      </c>
      <c r="K38" s="24">
        <f t="shared" si="10"/>
        <v>0.29175266139434414</v>
      </c>
      <c r="L38" s="24">
        <f t="shared" si="10"/>
        <v>0.89645540041923644</v>
      </c>
      <c r="M38" s="24">
        <f t="shared" si="10"/>
        <v>0.90455915791148811</v>
      </c>
      <c r="N38" s="24">
        <f t="shared" si="10"/>
        <v>0.26690653657641356</v>
      </c>
      <c r="O38" s="24">
        <f t="shared" si="10"/>
        <v>0.92401172777913176</v>
      </c>
      <c r="P38" s="24">
        <f t="shared" si="10"/>
        <v>0.44770162602923108</v>
      </c>
      <c r="Q38" s="24">
        <f t="shared" si="10"/>
        <v>0.91180441294805537</v>
      </c>
    </row>
    <row r="39" spans="2:18" x14ac:dyDescent="0.2">
      <c r="B39" s="1" t="s">
        <v>249</v>
      </c>
      <c r="C39" s="24">
        <f t="shared" ref="C39:Q39" si="11">C30/-C18</f>
        <v>5.3822495606326883E-3</v>
      </c>
      <c r="D39" s="24">
        <f t="shared" si="11"/>
        <v>6.5073143237773159E-3</v>
      </c>
      <c r="E39" s="24">
        <f t="shared" si="11"/>
        <v>6.496714589200139E-3</v>
      </c>
      <c r="F39" s="24">
        <f t="shared" si="11"/>
        <v>7.1057731416130331E-3</v>
      </c>
      <c r="G39" s="24">
        <f t="shared" si="11"/>
        <v>9.0671057295418425E-3</v>
      </c>
      <c r="H39" s="24">
        <f t="shared" si="11"/>
        <v>7.0000000000000001E-3</v>
      </c>
      <c r="I39" s="24">
        <f t="shared" si="11"/>
        <v>6.9999999999999993E-3</v>
      </c>
      <c r="J39" s="24">
        <f t="shared" si="11"/>
        <v>7.0000000000000001E-3</v>
      </c>
      <c r="K39" s="24">
        <f t="shared" si="11"/>
        <v>7.0000000000000001E-3</v>
      </c>
      <c r="L39" s="24">
        <f t="shared" si="11"/>
        <v>7.0000000000000001E-3</v>
      </c>
      <c r="M39" s="24">
        <f t="shared" si="11"/>
        <v>7.0000000000000001E-3</v>
      </c>
      <c r="N39" s="24">
        <f t="shared" si="11"/>
        <v>7.0000000000000001E-3</v>
      </c>
      <c r="O39" s="24">
        <f t="shared" si="11"/>
        <v>7.0000000000000001E-3</v>
      </c>
      <c r="P39" s="24">
        <f t="shared" si="11"/>
        <v>7.0000000000000001E-3</v>
      </c>
      <c r="Q39" s="24">
        <f t="shared" si="11"/>
        <v>7.0000000000000001E-3</v>
      </c>
    </row>
    <row r="40" spans="2:18" x14ac:dyDescent="0.2">
      <c r="B40" s="37" t="s">
        <v>250</v>
      </c>
      <c r="C40" s="37"/>
      <c r="D40" s="37"/>
      <c r="E40" s="37"/>
      <c r="F40" s="37"/>
      <c r="G40" s="37"/>
      <c r="H40" s="37">
        <f>H36/(1+$F$12)^Input!K9</f>
        <v>13.258914111818269</v>
      </c>
      <c r="I40" s="37">
        <f>I36/(1+$F$12)^Input!L9</f>
        <v>227.18143172890746</v>
      </c>
      <c r="J40" s="37">
        <f>J36/(1+$F$12)^Input!M9</f>
        <v>239.90399074955175</v>
      </c>
      <c r="K40" s="37">
        <f>K36/(1+$F$12)^Input!N9</f>
        <v>76.970177056966591</v>
      </c>
      <c r="L40" s="37">
        <f>L36/(1+$F$12)^Input!O9</f>
        <v>237.08593456883276</v>
      </c>
      <c r="M40" s="37">
        <f>M36/(1+$F$12)^Input!P9</f>
        <v>230.50608354338081</v>
      </c>
      <c r="N40" s="37">
        <f>N36/(1+$F$12)^Input!Q9</f>
        <v>66.591120007161308</v>
      </c>
      <c r="O40" s="37">
        <f>O36/(1+$F$12)^Input!R9</f>
        <v>222.35933350898952</v>
      </c>
      <c r="P40" s="37">
        <f>P36/(1+$F$12)^Input!S9</f>
        <v>104.39675314237728</v>
      </c>
      <c r="Q40" s="37">
        <f>Q36/(1+$F$12)^Input!T9</f>
        <v>205.15195064357076</v>
      </c>
    </row>
    <row r="41" spans="2:18" x14ac:dyDescent="0.2">
      <c r="B41" s="143" t="s">
        <v>251</v>
      </c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>
        <f>Q26*F14</f>
        <v>9596.0145071393563</v>
      </c>
    </row>
    <row r="42" spans="2:18" x14ac:dyDescent="0.2">
      <c r="B42" s="156" t="s">
        <v>252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>
        <f>Q41/(1+$F$12)^Input!T9</f>
        <v>4607.5641209175374</v>
      </c>
    </row>
    <row r="43" spans="2:18" x14ac:dyDescent="0.2">
      <c r="B43" s="83" t="s">
        <v>253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>
        <f>Q36*(1+F15)/(F12-F15)</f>
        <v>8566.470259804697</v>
      </c>
    </row>
    <row r="44" spans="2:18" x14ac:dyDescent="0.2">
      <c r="B44" s="156" t="s">
        <v>254</v>
      </c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>
        <f>Q43/(1+$F$12)^Input!T9</f>
        <v>4113.2243998398999</v>
      </c>
    </row>
    <row r="45" spans="2:18" x14ac:dyDescent="0.2"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</row>
    <row r="46" spans="2:18" x14ac:dyDescent="0.2">
      <c r="B46" s="1" t="s">
        <v>255</v>
      </c>
      <c r="E46" s="24">
        <f>Q42/SUM(H40:Q40,Q42)</f>
        <v>0.73946179510264654</v>
      </c>
    </row>
    <row r="47" spans="2:18" x14ac:dyDescent="0.2">
      <c r="B47" s="1" t="s">
        <v>256</v>
      </c>
      <c r="E47" s="24">
        <f>Q44/SUM(H40:Q40,Q44)</f>
        <v>0.71701056824243781</v>
      </c>
    </row>
    <row r="49" spans="2:17" x14ac:dyDescent="0.2">
      <c r="B49" s="9" t="s">
        <v>257</v>
      </c>
      <c r="C49" s="9"/>
      <c r="D49" s="85" t="s">
        <v>258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2">
      <c r="B50" s="1" t="s">
        <v>259</v>
      </c>
      <c r="H50" s="11">
        <f>Model!H202</f>
        <v>61.2</v>
      </c>
      <c r="I50" s="11">
        <f>Model!I202</f>
        <v>58.7</v>
      </c>
      <c r="J50" s="11">
        <f>Model!J202</f>
        <v>56.2</v>
      </c>
      <c r="K50" s="11">
        <f>Model!K202</f>
        <v>54.7</v>
      </c>
      <c r="L50" s="11">
        <f>Model!L202</f>
        <v>52.2</v>
      </c>
      <c r="M50" s="11">
        <f>Model!M202</f>
        <v>49.7</v>
      </c>
      <c r="N50" s="11">
        <f>Model!N202</f>
        <v>48.2</v>
      </c>
      <c r="O50" s="11">
        <f>Model!O202</f>
        <v>46.2</v>
      </c>
      <c r="P50" s="11">
        <f>Model!P202</f>
        <v>44.2</v>
      </c>
      <c r="Q50" s="11">
        <f>Model!Q202</f>
        <v>42.7</v>
      </c>
    </row>
    <row r="51" spans="2:17" x14ac:dyDescent="0.2">
      <c r="B51" s="1" t="s">
        <v>260</v>
      </c>
      <c r="H51" s="11">
        <f>H40/H50</f>
        <v>0.21664892339572334</v>
      </c>
      <c r="I51" s="11">
        <f t="shared" ref="I51:Q51" si="12">I40/I50</f>
        <v>3.8702117841381165</v>
      </c>
      <c r="J51" s="11">
        <f t="shared" si="12"/>
        <v>4.2687542837998533</v>
      </c>
      <c r="K51" s="11">
        <f t="shared" si="12"/>
        <v>1.4071330357763545</v>
      </c>
      <c r="L51" s="11">
        <f t="shared" si="12"/>
        <v>4.5418761411653783</v>
      </c>
      <c r="M51" s="11">
        <f t="shared" si="12"/>
        <v>4.6379493670700365</v>
      </c>
      <c r="N51" s="11">
        <f t="shared" si="12"/>
        <v>1.3815585063726412</v>
      </c>
      <c r="O51" s="11">
        <f t="shared" si="12"/>
        <v>4.8129725867746647</v>
      </c>
      <c r="P51" s="11">
        <f t="shared" si="12"/>
        <v>2.3619174919089883</v>
      </c>
      <c r="Q51" s="11">
        <f t="shared" si="12"/>
        <v>4.8044953312311653</v>
      </c>
    </row>
    <row r="52" spans="2:17" x14ac:dyDescent="0.2">
      <c r="B52" s="1" t="s">
        <v>252</v>
      </c>
      <c r="C52" s="37">
        <f>Q42</f>
        <v>4607.5641209175374</v>
      </c>
      <c r="D52" s="157">
        <f>C52/Q50</f>
        <v>107.90548292546926</v>
      </c>
    </row>
    <row r="53" spans="2:17" x14ac:dyDescent="0.2">
      <c r="B53" s="1" t="s">
        <v>254</v>
      </c>
      <c r="C53" s="37">
        <f>Q44</f>
        <v>4113.2243998398999</v>
      </c>
      <c r="D53" s="157">
        <f>C53/Q50</f>
        <v>96.328440277281018</v>
      </c>
    </row>
    <row r="54" spans="2:17" x14ac:dyDescent="0.2">
      <c r="C54" s="37"/>
      <c r="D54" s="83"/>
    </row>
    <row r="55" spans="2:17" x14ac:dyDescent="0.2">
      <c r="B55" s="29" t="s">
        <v>261</v>
      </c>
      <c r="C55" s="25"/>
      <c r="D55" s="158"/>
    </row>
    <row r="56" spans="2:17" x14ac:dyDescent="0.2">
      <c r="B56" s="1" t="s">
        <v>262</v>
      </c>
      <c r="C56" s="37">
        <f>C52+SUM(H40:Q40)</f>
        <v>6230.969809979094</v>
      </c>
      <c r="D56" s="157">
        <f>C56/$H$50</f>
        <v>101.81323218920087</v>
      </c>
    </row>
    <row r="57" spans="2:17" x14ac:dyDescent="0.2">
      <c r="B57" s="1" t="s">
        <v>263</v>
      </c>
      <c r="C57" s="37">
        <f>Model!G199</f>
        <v>1693.4</v>
      </c>
      <c r="D57" s="157">
        <f>C57/$H$50</f>
        <v>27.669934640522875</v>
      </c>
    </row>
    <row r="58" spans="2:17" x14ac:dyDescent="0.2">
      <c r="B58" s="1" t="s">
        <v>264</v>
      </c>
      <c r="C58" s="37">
        <f>Model!G99</f>
        <v>0</v>
      </c>
      <c r="D58" s="157">
        <f>C58/$H$50</f>
        <v>0</v>
      </c>
    </row>
    <row r="59" spans="2:17" x14ac:dyDescent="0.2">
      <c r="B59" s="1" t="s">
        <v>265</v>
      </c>
      <c r="C59" s="37">
        <f>Model!G64</f>
        <v>104.1</v>
      </c>
      <c r="D59" s="157">
        <f>C59/$H$50</f>
        <v>1.7009803921568625</v>
      </c>
    </row>
    <row r="60" spans="2:17" x14ac:dyDescent="0.2">
      <c r="B60" s="1" t="s">
        <v>266</v>
      </c>
      <c r="C60" s="37">
        <f>C56-C57-C58+C59</f>
        <v>4641.6698099790938</v>
      </c>
      <c r="D60" s="157">
        <f>C60/$H$50</f>
        <v>75.844277940834857</v>
      </c>
    </row>
    <row r="61" spans="2:17" x14ac:dyDescent="0.2">
      <c r="B61" s="1" t="s">
        <v>267</v>
      </c>
      <c r="C61" s="37"/>
      <c r="D61" s="157">
        <f>Summary!H8</f>
        <v>40.200000000000003</v>
      </c>
    </row>
    <row r="62" spans="2:17" x14ac:dyDescent="0.2">
      <c r="B62" s="1" t="s">
        <v>21</v>
      </c>
      <c r="C62" s="37"/>
      <c r="D62" s="159">
        <f>D60/D61-1</f>
        <v>0.88667358061778234</v>
      </c>
    </row>
    <row r="63" spans="2:17" x14ac:dyDescent="0.2">
      <c r="C63" s="37"/>
      <c r="D63" s="83"/>
    </row>
    <row r="64" spans="2:17" x14ac:dyDescent="0.2">
      <c r="C64" s="37"/>
      <c r="D64" s="83"/>
    </row>
    <row r="65" spans="2:17" x14ac:dyDescent="0.2">
      <c r="B65" s="29" t="s">
        <v>268</v>
      </c>
      <c r="C65" s="25"/>
      <c r="D65" s="158"/>
    </row>
    <row r="66" spans="2:17" x14ac:dyDescent="0.2">
      <c r="B66" s="1" t="s">
        <v>262</v>
      </c>
      <c r="C66" s="37">
        <f>Q44+SUM(H40:Q40)</f>
        <v>5736.6300889014565</v>
      </c>
      <c r="D66" s="157">
        <f>C66/$H$50</f>
        <v>93.735785766363662</v>
      </c>
    </row>
    <row r="67" spans="2:17" x14ac:dyDescent="0.2">
      <c r="B67" s="1" t="s">
        <v>263</v>
      </c>
      <c r="C67" s="37">
        <f>C57</f>
        <v>1693.4</v>
      </c>
      <c r="D67" s="157">
        <f>C67/$H$50</f>
        <v>27.669934640522875</v>
      </c>
    </row>
    <row r="68" spans="2:17" x14ac:dyDescent="0.2">
      <c r="B68" s="1" t="s">
        <v>264</v>
      </c>
      <c r="C68" s="37">
        <f t="shared" ref="C68:C69" si="13">C58</f>
        <v>0</v>
      </c>
      <c r="D68" s="157">
        <f>C68/$H$50</f>
        <v>0</v>
      </c>
    </row>
    <row r="69" spans="2:17" x14ac:dyDescent="0.2">
      <c r="B69" s="1" t="s">
        <v>265</v>
      </c>
      <c r="C69" s="37">
        <f t="shared" si="13"/>
        <v>104.1</v>
      </c>
      <c r="D69" s="157">
        <f>C69/$H$50</f>
        <v>1.7009803921568625</v>
      </c>
    </row>
    <row r="70" spans="2:17" x14ac:dyDescent="0.2">
      <c r="B70" s="1" t="s">
        <v>266</v>
      </c>
      <c r="C70" s="37">
        <f>C66-C67-C68+C69</f>
        <v>4147.3300889014563</v>
      </c>
      <c r="D70" s="157">
        <f>C70/$H$50</f>
        <v>67.766831517997645</v>
      </c>
    </row>
    <row r="71" spans="2:17" x14ac:dyDescent="0.2">
      <c r="B71" s="1" t="s">
        <v>267</v>
      </c>
      <c r="C71" s="37"/>
      <c r="D71" s="157">
        <f>D61</f>
        <v>40.200000000000003</v>
      </c>
    </row>
    <row r="72" spans="2:17" x14ac:dyDescent="0.2">
      <c r="B72" s="1" t="s">
        <v>21</v>
      </c>
      <c r="C72" s="37"/>
      <c r="D72" s="159">
        <f>D70/D71-1</f>
        <v>0.68574207756213035</v>
      </c>
    </row>
    <row r="75" spans="2:17" x14ac:dyDescent="0.2">
      <c r="B75" s="9" t="s">
        <v>269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2:17" x14ac:dyDescent="0.2">
      <c r="B76" s="13" t="s">
        <v>268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2:17" x14ac:dyDescent="0.2">
      <c r="C77" s="7" t="s">
        <v>21</v>
      </c>
      <c r="F77" s="7" t="s">
        <v>226</v>
      </c>
      <c r="K77" s="7" t="s">
        <v>266</v>
      </c>
      <c r="N77" s="7" t="s">
        <v>226</v>
      </c>
    </row>
    <row r="78" spans="2:17" x14ac:dyDescent="0.2">
      <c r="C78" s="91">
        <f>$D$72</f>
        <v>0.68574207756213035</v>
      </c>
      <c r="D78" s="92">
        <f>E78-1%</f>
        <v>5.6000000000000001E-2</v>
      </c>
      <c r="E78" s="92">
        <f>F78-1%</f>
        <v>6.6000000000000003E-2</v>
      </c>
      <c r="F78" s="93">
        <v>7.5999999999999998E-2</v>
      </c>
      <c r="G78" s="92">
        <f>F78+1%</f>
        <v>8.5999999999999993E-2</v>
      </c>
      <c r="H78" s="94">
        <f>G78+1%</f>
        <v>9.5999999999999988E-2</v>
      </c>
      <c r="K78" s="95">
        <f>$D$70</f>
        <v>67.766831517997645</v>
      </c>
      <c r="L78" s="92">
        <f>M78-1%</f>
        <v>5.6000000000000001E-2</v>
      </c>
      <c r="M78" s="92">
        <f>N78-1%</f>
        <v>6.6000000000000003E-2</v>
      </c>
      <c r="N78" s="93">
        <v>7.5999999999999998E-2</v>
      </c>
      <c r="O78" s="92">
        <f>N78+1%</f>
        <v>8.5999999999999993E-2</v>
      </c>
      <c r="P78" s="94">
        <f>O78+1%</f>
        <v>9.5999999999999988E-2</v>
      </c>
    </row>
    <row r="79" spans="2:17" x14ac:dyDescent="0.2">
      <c r="C79" s="87">
        <f>C80-0.5%</f>
        <v>9.9999999999999985E-3</v>
      </c>
      <c r="D79" s="99">
        <f t="dataTable" ref="D79:H85" dt2D="1" dtr="1" r1="F12" r2="F15"/>
        <v>1.3014381052047765</v>
      </c>
      <c r="E79" s="99">
        <v>0.70382307761215368</v>
      </c>
      <c r="F79" s="99">
        <v>0.2918291515230409</v>
      </c>
      <c r="G79" s="99">
        <v>-8.1862148293369019E-3</v>
      </c>
      <c r="H79" s="100">
        <v>-0.23557868074244159</v>
      </c>
      <c r="K79" s="87">
        <f>K80-0.5%</f>
        <v>9.9999999999999985E-3</v>
      </c>
      <c r="L79" s="103">
        <f t="dataTable" ref="L79:P85" dt2D="1" dtr="1" r1="F12" r2="F15" ca="1"/>
        <v>92.517811829232031</v>
      </c>
      <c r="M79" s="103">
        <v>68.49368772000858</v>
      </c>
      <c r="N79" s="103">
        <v>51.93153189122625</v>
      </c>
      <c r="O79" s="103">
        <v>39.870914163860661</v>
      </c>
      <c r="P79" s="104">
        <v>30.72973703415385</v>
      </c>
    </row>
    <row r="80" spans="2:17" x14ac:dyDescent="0.2">
      <c r="C80" s="88">
        <f>C81-0.5%</f>
        <v>1.4999999999999999E-2</v>
      </c>
      <c r="D80" s="86">
        <v>1.5833872202028583</v>
      </c>
      <c r="E80" s="86">
        <v>0.87486975509415266</v>
      </c>
      <c r="F80" s="86">
        <v>0.40338785938924793</v>
      </c>
      <c r="G80" s="86">
        <v>6.8399420529139165E-2</v>
      </c>
      <c r="H80" s="101">
        <v>-0.180951444291096</v>
      </c>
      <c r="K80" s="88">
        <f>K81-0.5%</f>
        <v>1.4999999999999999E-2</v>
      </c>
      <c r="L80" s="105">
        <v>103.8521662521549</v>
      </c>
      <c r="M80" s="105">
        <v>75.369764154784946</v>
      </c>
      <c r="N80" s="105">
        <v>56.416191947447771</v>
      </c>
      <c r="O80" s="105">
        <v>42.949656705271394</v>
      </c>
      <c r="P80" s="106">
        <v>32.925751939497943</v>
      </c>
    </row>
    <row r="81" spans="2:17" x14ac:dyDescent="0.2">
      <c r="C81" s="88">
        <f>C82-0.5%</f>
        <v>0.02</v>
      </c>
      <c r="D81" s="86">
        <v>1.9436555338115191</v>
      </c>
      <c r="E81" s="110">
        <v>1.0831004928983261</v>
      </c>
      <c r="F81" s="110">
        <v>0.53486776508870637</v>
      </c>
      <c r="G81" s="110">
        <v>0.15658894003283863</v>
      </c>
      <c r="H81" s="101">
        <v>-0.11913641356983595</v>
      </c>
      <c r="K81" s="88">
        <f>K82-0.5%</f>
        <v>0.02</v>
      </c>
      <c r="L81" s="105">
        <v>118.33495245922308</v>
      </c>
      <c r="M81" s="111">
        <v>83.740639814512718</v>
      </c>
      <c r="N81" s="111">
        <v>61.701684156566003</v>
      </c>
      <c r="O81" s="111">
        <v>46.494875389320114</v>
      </c>
      <c r="P81" s="106">
        <v>35.410716174492599</v>
      </c>
    </row>
    <row r="82" spans="2:17" x14ac:dyDescent="0.2">
      <c r="B82" s="1" t="s">
        <v>236</v>
      </c>
      <c r="C82" s="89">
        <v>2.5000000000000001E-2</v>
      </c>
      <c r="D82" s="86">
        <v>2.4201394324552319</v>
      </c>
      <c r="E82" s="110">
        <v>1.3421192155327848</v>
      </c>
      <c r="F82" s="109">
        <v>0.69212804445472531</v>
      </c>
      <c r="G82" s="110">
        <v>0.2592357578158333</v>
      </c>
      <c r="H82" s="101">
        <v>-4.8615040493468875E-2</v>
      </c>
      <c r="J82" s="1" t="s">
        <v>454</v>
      </c>
      <c r="K82" s="89">
        <v>2.5000000000000001E-2</v>
      </c>
      <c r="L82" s="105">
        <v>137.48960518470034</v>
      </c>
      <c r="M82" s="111">
        <v>94.153192464417955</v>
      </c>
      <c r="N82" s="112">
        <v>68.023547387079958</v>
      </c>
      <c r="O82" s="111">
        <v>50.621277464196503</v>
      </c>
      <c r="P82" s="106">
        <v>38.245675372162552</v>
      </c>
    </row>
    <row r="83" spans="2:17" x14ac:dyDescent="0.2">
      <c r="C83" s="88">
        <f>C82+0.5%</f>
        <v>3.0000000000000002E-2</v>
      </c>
      <c r="D83" s="86">
        <v>3.0798863690388343</v>
      </c>
      <c r="E83" s="110">
        <v>1.6730875833434831</v>
      </c>
      <c r="F83" s="110">
        <v>0.88357534107422642</v>
      </c>
      <c r="G83" s="110">
        <v>0.38021236448864837</v>
      </c>
      <c r="H83" s="101">
        <v>3.2591389109620117E-2</v>
      </c>
      <c r="J83" s="1" t="s">
        <v>455</v>
      </c>
      <c r="K83" s="88">
        <f>K82+0.5%</f>
        <v>3.0000000000000002E-2</v>
      </c>
      <c r="L83" s="105">
        <v>164.01143203536117</v>
      </c>
      <c r="M83" s="111">
        <v>107.45812085040802</v>
      </c>
      <c r="N83" s="111">
        <v>75.719728711183905</v>
      </c>
      <c r="O83" s="111">
        <v>55.48453705244367</v>
      </c>
      <c r="P83" s="106">
        <v>41.510173842206733</v>
      </c>
    </row>
    <row r="84" spans="2:17" x14ac:dyDescent="0.2">
      <c r="C84" s="88">
        <f>C83+0.5%</f>
        <v>3.5000000000000003E-2</v>
      </c>
      <c r="D84" s="86">
        <v>4.0537985135193901</v>
      </c>
      <c r="E84" s="86">
        <v>2.1108199407705346</v>
      </c>
      <c r="F84" s="86">
        <v>1.1217171002838504</v>
      </c>
      <c r="G84" s="86">
        <v>0.52490987443064308</v>
      </c>
      <c r="H84" s="101">
        <v>0.12711034815583866</v>
      </c>
      <c r="K84" s="88">
        <f>K83+0.5%</f>
        <v>3.5000000000000003E-2</v>
      </c>
      <c r="L84" s="105">
        <v>203.16270024347949</v>
      </c>
      <c r="M84" s="105">
        <v>125.0549616189755</v>
      </c>
      <c r="N84" s="105">
        <v>85.293027431410792</v>
      </c>
      <c r="O84" s="105">
        <v>61.301376952111859</v>
      </c>
      <c r="P84" s="106">
        <v>45.309835995864717</v>
      </c>
    </row>
    <row r="85" spans="2:17" x14ac:dyDescent="0.2">
      <c r="C85" s="90">
        <f>C84+0.5%</f>
        <v>0.04</v>
      </c>
      <c r="D85" s="102">
        <v>5.6364057483002918</v>
      </c>
      <c r="E85" s="102">
        <v>2.7169108972079914</v>
      </c>
      <c r="F85" s="102">
        <v>1.4260093481628133</v>
      </c>
      <c r="G85" s="102">
        <v>0.70106336479481079</v>
      </c>
      <c r="H85" s="74">
        <v>0.23850769274602479</v>
      </c>
      <c r="K85" s="90">
        <f>K84+0.5%</f>
        <v>0.04</v>
      </c>
      <c r="L85" s="107">
        <v>266.78351108167175</v>
      </c>
      <c r="M85" s="107">
        <v>149.41981806776127</v>
      </c>
      <c r="N85" s="107">
        <v>97.525575796145105</v>
      </c>
      <c r="O85" s="107">
        <v>68.382747264751401</v>
      </c>
      <c r="P85" s="108">
        <v>49.788009248390196</v>
      </c>
    </row>
    <row r="88" spans="2:17" x14ac:dyDescent="0.2">
      <c r="B88" s="13" t="s">
        <v>270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2:17" x14ac:dyDescent="0.2">
      <c r="C89" s="7" t="s">
        <v>21</v>
      </c>
      <c r="F89" s="7" t="s">
        <v>226</v>
      </c>
      <c r="K89" s="7" t="s">
        <v>266</v>
      </c>
      <c r="N89" s="7" t="s">
        <v>226</v>
      </c>
    </row>
    <row r="90" spans="2:17" x14ac:dyDescent="0.2">
      <c r="C90" s="91">
        <f>$D$62</f>
        <v>0.88667358061778234</v>
      </c>
      <c r="D90" s="92">
        <f>E90-1%</f>
        <v>5.6000000000000001E-2</v>
      </c>
      <c r="E90" s="92">
        <f>F90-1%</f>
        <v>6.6000000000000003E-2</v>
      </c>
      <c r="F90" s="93">
        <v>7.5999999999999998E-2</v>
      </c>
      <c r="G90" s="92">
        <f>F90+1%</f>
        <v>8.5999999999999993E-2</v>
      </c>
      <c r="H90" s="94">
        <f>G90+1%</f>
        <v>9.5999999999999988E-2</v>
      </c>
      <c r="K90" s="95">
        <f>$D$60</f>
        <v>75.844277940834857</v>
      </c>
      <c r="L90" s="92">
        <f>M90-1%</f>
        <v>5.6000000000000001E-2</v>
      </c>
      <c r="M90" s="92">
        <f>N90-1%</f>
        <v>6.6000000000000003E-2</v>
      </c>
      <c r="N90" s="93">
        <v>7.5999999999999998E-2</v>
      </c>
      <c r="O90" s="92">
        <f>N90+1%</f>
        <v>8.5999999999999993E-2</v>
      </c>
      <c r="P90" s="94">
        <f>O90+1%</f>
        <v>9.5999999999999988E-2</v>
      </c>
    </row>
    <row r="91" spans="2:17" x14ac:dyDescent="0.2">
      <c r="C91" s="96">
        <f t="shared" ref="C91:C92" si="14">C92-1</f>
        <v>10.5</v>
      </c>
      <c r="D91" s="86">
        <f t="dataTable" ref="D91:H97" dt2D="1" dtr="1" r1="F12" r2="F14" ca="1"/>
        <v>0.86565408668249288</v>
      </c>
      <c r="E91" s="86">
        <v>0.66658901197114462</v>
      </c>
      <c r="F91" s="86">
        <v>0.48604535048904007</v>
      </c>
      <c r="G91" s="86">
        <v>0.32211341304458929</v>
      </c>
      <c r="H91" s="101">
        <v>0.17309723262194532</v>
      </c>
      <c r="K91" s="96">
        <f t="shared" ref="K91:K92" si="15">K92-1</f>
        <v>10.5</v>
      </c>
      <c r="L91" s="103">
        <f t="dataTable" ref="L91:P97" dt2D="1" dtr="1" r1="F12" r2="F14" ca="1"/>
        <v>74.999294284636221</v>
      </c>
      <c r="M91" s="103">
        <v>66.996878281240015</v>
      </c>
      <c r="N91" s="103">
        <v>59.739023089659419</v>
      </c>
      <c r="O91" s="103">
        <v>53.148959204392497</v>
      </c>
      <c r="P91" s="104">
        <v>47.158508751402209</v>
      </c>
    </row>
    <row r="92" spans="2:17" x14ac:dyDescent="0.2">
      <c r="C92" s="96">
        <f t="shared" si="14"/>
        <v>11.5</v>
      </c>
      <c r="D92" s="86">
        <v>1.0347481204897253</v>
      </c>
      <c r="E92" s="86">
        <v>0.82047370396133856</v>
      </c>
      <c r="F92" s="86">
        <v>0.62621201967073725</v>
      </c>
      <c r="G92" s="86">
        <v>0.44989527555290754</v>
      </c>
      <c r="H92" s="101">
        <v>0.28968739979819591</v>
      </c>
      <c r="K92" s="96">
        <f t="shared" si="15"/>
        <v>11.5</v>
      </c>
      <c r="L92" s="105">
        <v>81.79687444368696</v>
      </c>
      <c r="M92" s="105">
        <v>73.18304289924582</v>
      </c>
      <c r="N92" s="105">
        <v>65.373723190763641</v>
      </c>
      <c r="O92" s="105">
        <v>58.285790077226885</v>
      </c>
      <c r="P92" s="106">
        <v>51.845433471887482</v>
      </c>
    </row>
    <row r="93" spans="2:17" x14ac:dyDescent="0.2">
      <c r="C93" s="96">
        <f>C94-1</f>
        <v>12.5</v>
      </c>
      <c r="D93" s="86">
        <v>1.2038421542969568</v>
      </c>
      <c r="E93" s="110">
        <v>0.97435839595153273</v>
      </c>
      <c r="F93" s="110">
        <v>0.76637868885243554</v>
      </c>
      <c r="G93" s="110">
        <v>0.57767713806122511</v>
      </c>
      <c r="H93" s="101">
        <v>0.40627756697444628</v>
      </c>
      <c r="K93" s="96">
        <f>K94-1</f>
        <v>12.5</v>
      </c>
      <c r="L93" s="105">
        <v>88.59445460273767</v>
      </c>
      <c r="M93" s="111">
        <v>79.369207517251624</v>
      </c>
      <c r="N93" s="111">
        <v>71.008423291867913</v>
      </c>
      <c r="O93" s="111">
        <v>63.422620950061251</v>
      </c>
      <c r="P93" s="106">
        <v>56.532358192372747</v>
      </c>
    </row>
    <row r="94" spans="2:17" x14ac:dyDescent="0.2">
      <c r="B94" s="1" t="s">
        <v>271</v>
      </c>
      <c r="C94" s="97">
        <v>13.5</v>
      </c>
      <c r="D94" s="86">
        <v>1.3729361881041893</v>
      </c>
      <c r="E94" s="110">
        <v>1.1282430879417262</v>
      </c>
      <c r="F94" s="109">
        <v>0.90654535803413272</v>
      </c>
      <c r="G94" s="110">
        <v>0.70545900056954269</v>
      </c>
      <c r="H94" s="101">
        <v>0.52286773415069665</v>
      </c>
      <c r="J94" s="1" t="s">
        <v>271</v>
      </c>
      <c r="K94" s="97">
        <v>13.5</v>
      </c>
      <c r="L94" s="105">
        <v>95.392034761788409</v>
      </c>
      <c r="M94" s="111">
        <v>85.5553721352574</v>
      </c>
      <c r="N94" s="112">
        <v>76.643123392972143</v>
      </c>
      <c r="O94" s="111">
        <v>68.559451822895625</v>
      </c>
      <c r="P94" s="106">
        <v>61.219282912858013</v>
      </c>
    </row>
    <row r="95" spans="2:17" x14ac:dyDescent="0.2">
      <c r="C95" s="96">
        <f>C94+1</f>
        <v>14.5</v>
      </c>
      <c r="D95" s="86">
        <v>1.5420302219114208</v>
      </c>
      <c r="E95" s="110">
        <v>1.2821277799319204</v>
      </c>
      <c r="F95" s="110">
        <v>1.0467120272158299</v>
      </c>
      <c r="G95" s="110">
        <v>0.83324086307786027</v>
      </c>
      <c r="H95" s="101">
        <v>0.63945790132694724</v>
      </c>
      <c r="K95" s="96">
        <f>K94+1</f>
        <v>14.5</v>
      </c>
      <c r="L95" s="105">
        <v>102.18961492083912</v>
      </c>
      <c r="M95" s="111">
        <v>91.741536753263205</v>
      </c>
      <c r="N95" s="111">
        <v>82.277823494076372</v>
      </c>
      <c r="O95" s="111">
        <v>73.696282695729991</v>
      </c>
      <c r="P95" s="106">
        <v>65.906207633343286</v>
      </c>
    </row>
    <row r="96" spans="2:17" x14ac:dyDescent="0.2">
      <c r="C96" s="96">
        <f t="shared" ref="C96:C97" si="16">C95+1</f>
        <v>15.5</v>
      </c>
      <c r="D96" s="86">
        <v>1.7111242557186528</v>
      </c>
      <c r="E96" s="86">
        <v>1.4360124719221146</v>
      </c>
      <c r="F96" s="86">
        <v>1.1868786963975277</v>
      </c>
      <c r="G96" s="86">
        <v>0.96102272558617829</v>
      </c>
      <c r="H96" s="101">
        <v>0.75604806850319761</v>
      </c>
      <c r="K96" s="96">
        <f t="shared" ref="K96:K97" si="17">K95+1</f>
        <v>15.5</v>
      </c>
      <c r="L96" s="105">
        <v>108.98719507988986</v>
      </c>
      <c r="M96" s="105">
        <v>97.927701371269009</v>
      </c>
      <c r="N96" s="105">
        <v>87.91252359518063</v>
      </c>
      <c r="O96" s="105">
        <v>78.833113568564372</v>
      </c>
      <c r="P96" s="106">
        <v>70.593132353828551</v>
      </c>
    </row>
    <row r="97" spans="3:16" x14ac:dyDescent="0.2">
      <c r="C97" s="98">
        <f t="shared" si="16"/>
        <v>16.5</v>
      </c>
      <c r="D97" s="102">
        <v>1.8802182895258848</v>
      </c>
      <c r="E97" s="102">
        <v>1.5898971639123083</v>
      </c>
      <c r="F97" s="102">
        <v>1.3270453655792251</v>
      </c>
      <c r="G97" s="102">
        <v>1.0888045880944963</v>
      </c>
      <c r="H97" s="74">
        <v>0.87263823567944843</v>
      </c>
      <c r="K97" s="98">
        <f t="shared" si="17"/>
        <v>16.5</v>
      </c>
      <c r="L97" s="107">
        <v>115.78477523894057</v>
      </c>
      <c r="M97" s="107">
        <v>104.1138659892748</v>
      </c>
      <c r="N97" s="107">
        <v>93.54722369628486</v>
      </c>
      <c r="O97" s="107">
        <v>83.969944441398766</v>
      </c>
      <c r="P97" s="108">
        <v>75.280057074313831</v>
      </c>
    </row>
  </sheetData>
  <conditionalFormatting sqref="D62">
    <cfRule type="cellIs" dxfId="4" priority="13" operator="lessThanOrEqual">
      <formula>0</formula>
    </cfRule>
    <cfRule type="cellIs" dxfId="3" priority="14" operator="greaterThan">
      <formula>0</formula>
    </cfRule>
  </conditionalFormatting>
  <conditionalFormatting sqref="D72">
    <cfRule type="cellIs" dxfId="2" priority="11" operator="lessThanOrEqual">
      <formula>0</formula>
    </cfRule>
    <cfRule type="cellIs" dxfId="1" priority="12" operator="greaterThan">
      <formula>0</formula>
    </cfRule>
  </conditionalFormatting>
  <conditionalFormatting sqref="E46:E47">
    <cfRule type="cellIs" dxfId="0" priority="15" operator="greaterThan">
      <formula>0.6</formula>
    </cfRule>
  </conditionalFormatting>
  <pageMargins left="0.7" right="0.7" top="0.75" bottom="0.75" header="0.3" footer="0.3"/>
  <pageSetup orientation="portrait" r:id="rId1"/>
  <ignoredErrors>
    <ignoredError sqref="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3E0A-C556-436B-9052-7E917229FF58}">
  <dimension ref="A1:T61"/>
  <sheetViews>
    <sheetView zoomScale="84" zoomScaleNormal="84" workbookViewId="0">
      <selection activeCell="K32" sqref="K32:N35"/>
    </sheetView>
  </sheetViews>
  <sheetFormatPr baseColWidth="10" defaultColWidth="9.33203125" defaultRowHeight="15" x14ac:dyDescent="0.2"/>
  <cols>
    <col min="1" max="1" width="10.1640625" style="1" bestFit="1" customWidth="1"/>
    <col min="2" max="2" width="29.6640625" style="1" customWidth="1"/>
    <col min="3" max="3" width="16.6640625" style="1" customWidth="1"/>
    <col min="4" max="4" width="9.33203125" style="1"/>
    <col min="5" max="5" width="11.33203125" style="1" bestFit="1" customWidth="1"/>
    <col min="6" max="6" width="11.33203125" style="1" customWidth="1"/>
    <col min="7" max="7" width="21.6640625" style="1" bestFit="1" customWidth="1"/>
    <col min="8" max="9" width="21.6640625" style="1" customWidth="1"/>
    <col min="10" max="10" width="19.6640625" style="1" customWidth="1"/>
    <col min="11" max="11" width="20.5" style="1" bestFit="1" customWidth="1"/>
    <col min="12" max="12" width="15.33203125" style="1" customWidth="1"/>
    <col min="13" max="13" width="13.5" style="1" bestFit="1" customWidth="1"/>
    <col min="14" max="14" width="10.83203125" style="1" bestFit="1" customWidth="1"/>
    <col min="15" max="15" width="15.83203125" style="1" bestFit="1" customWidth="1"/>
    <col min="16" max="16" width="21.6640625" style="1" bestFit="1" customWidth="1"/>
    <col min="17" max="17" width="19.83203125" style="1" bestFit="1" customWidth="1"/>
    <col min="18" max="18" width="13.5" style="1" customWidth="1"/>
    <col min="19" max="19" width="15.83203125" style="1" customWidth="1"/>
    <col min="20" max="20" width="10.6640625" style="1" bestFit="1" customWidth="1"/>
    <col min="21" max="21" width="16.6640625" style="1" bestFit="1" customWidth="1"/>
    <col min="22" max="22" width="14" style="1" customWidth="1"/>
    <col min="23" max="23" width="9.1640625" style="1" bestFit="1" customWidth="1"/>
    <col min="24" max="16384" width="9.33203125" style="1"/>
  </cols>
  <sheetData>
    <row r="1" spans="1:20" x14ac:dyDescent="0.2">
      <c r="A1" s="1" t="str">
        <f>[1]Input!$A$5</f>
        <v>Last Edit:</v>
      </c>
      <c r="B1" s="202">
        <f>[1]Input!$B$5</f>
        <v>46152</v>
      </c>
    </row>
    <row r="2" spans="1:20" x14ac:dyDescent="0.2">
      <c r="A2" s="1" t="str">
        <f>"In $M "&amp;B2</f>
        <v>In $M USD</v>
      </c>
      <c r="B2" s="49" t="str">
        <f>[1]Summary!B3</f>
        <v>USD</v>
      </c>
    </row>
    <row r="3" spans="1:20" x14ac:dyDescent="0.2">
      <c r="B3" s="45" t="s">
        <v>272</v>
      </c>
      <c r="C3" s="45" t="s">
        <v>25</v>
      </c>
      <c r="D3" s="45" t="s">
        <v>26</v>
      </c>
      <c r="E3" s="45" t="s">
        <v>273</v>
      </c>
      <c r="F3" s="45" t="s">
        <v>365</v>
      </c>
      <c r="G3" s="45" t="s">
        <v>274</v>
      </c>
      <c r="H3" s="45" t="s">
        <v>35</v>
      </c>
      <c r="I3" s="45" t="s">
        <v>85</v>
      </c>
      <c r="J3" s="45" t="s">
        <v>262</v>
      </c>
      <c r="K3" s="45" t="s">
        <v>275</v>
      </c>
      <c r="L3" s="45" t="s">
        <v>88</v>
      </c>
      <c r="M3" s="45" t="s">
        <v>239</v>
      </c>
      <c r="N3" s="45" t="s">
        <v>366</v>
      </c>
      <c r="O3" s="45" t="s">
        <v>367</v>
      </c>
      <c r="P3" s="45" t="s">
        <v>284</v>
      </c>
      <c r="Q3" s="45" t="s">
        <v>368</v>
      </c>
      <c r="R3" s="45" t="s">
        <v>144</v>
      </c>
      <c r="S3" s="45" t="s">
        <v>277</v>
      </c>
      <c r="T3" s="45" t="s">
        <v>369</v>
      </c>
    </row>
    <row r="4" spans="1:20" x14ac:dyDescent="0.2">
      <c r="B4" s="162" t="s">
        <v>370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</row>
    <row r="5" spans="1:20" x14ac:dyDescent="0.2">
      <c r="B5" s="43" t="s">
        <v>371</v>
      </c>
      <c r="C5" s="43" t="s">
        <v>372</v>
      </c>
      <c r="D5" s="43" t="s">
        <v>6</v>
      </c>
      <c r="E5" s="43" t="s">
        <v>373</v>
      </c>
      <c r="F5" s="237">
        <v>45.779998999999997</v>
      </c>
      <c r="G5" s="237">
        <v>12370.193907000001</v>
      </c>
      <c r="H5" s="237">
        <v>18785.761999999999</v>
      </c>
      <c r="I5" s="237">
        <v>316.93599999999998</v>
      </c>
      <c r="J5" s="237">
        <v>18071.093896999999</v>
      </c>
      <c r="K5" s="223">
        <v>7.0699999999999999E-2</v>
      </c>
      <c r="L5" s="237">
        <v>1281.2260000000001</v>
      </c>
      <c r="M5" s="222">
        <f t="shared" ref="M5:M11" si="0">L5/H5</f>
        <v>6.8201971258871494E-2</v>
      </c>
      <c r="N5" s="263">
        <f>J5/H5</f>
        <v>0.96195692764552221</v>
      </c>
      <c r="O5" s="263">
        <f>J5/L5</f>
        <v>14.104532609391315</v>
      </c>
      <c r="P5" s="263">
        <f>G5/I5</f>
        <v>39.030573702577179</v>
      </c>
      <c r="Q5" s="263">
        <f>R5/H5</f>
        <v>0.32279994817351565</v>
      </c>
      <c r="R5" s="237">
        <v>6064.0429999999997</v>
      </c>
      <c r="S5" s="263">
        <f>R5/L5</f>
        <v>4.7330002669318283</v>
      </c>
      <c r="T5" s="54">
        <v>4.1399999999999999E-2</v>
      </c>
    </row>
    <row r="6" spans="1:20" x14ac:dyDescent="0.2">
      <c r="B6" s="43" t="s">
        <v>374</v>
      </c>
      <c r="C6" s="43" t="s">
        <v>375</v>
      </c>
      <c r="D6" s="43" t="s">
        <v>6</v>
      </c>
      <c r="E6" s="43" t="s">
        <v>376</v>
      </c>
      <c r="F6" s="237">
        <v>52.06</v>
      </c>
      <c r="G6" s="237">
        <v>7749.1902049999999</v>
      </c>
      <c r="H6" s="237">
        <v>27196.647377000001</v>
      </c>
      <c r="I6" s="237">
        <v>517.07718</v>
      </c>
      <c r="J6" s="237">
        <v>12023.535543</v>
      </c>
      <c r="K6" s="223">
        <v>4.8000000000000001E-2</v>
      </c>
      <c r="L6" s="237">
        <v>1574.2639300000001</v>
      </c>
      <c r="M6" s="222">
        <f t="shared" si="0"/>
        <v>5.7884485105003908E-2</v>
      </c>
      <c r="N6" s="263">
        <f t="shared" ref="N6:N7" si="1">J6/H6</f>
        <v>0.44209623989051727</v>
      </c>
      <c r="O6" s="263">
        <f t="shared" ref="O6:O7" si="2">J6/L6</f>
        <v>7.6375602044061308</v>
      </c>
      <c r="P6" s="263">
        <f t="shared" ref="P6:P7" si="3">G6/I6</f>
        <v>14.986525232074639</v>
      </c>
      <c r="Q6" s="263">
        <f t="shared" ref="Q6:Q7" si="4">R6/H6</f>
        <v>0.18363885811983183</v>
      </c>
      <c r="R6" s="237">
        <v>4994.361269</v>
      </c>
      <c r="S6" s="263">
        <f t="shared" ref="S6:S7" si="5">R6/L6</f>
        <v>3.1725056858794951</v>
      </c>
      <c r="T6" s="54">
        <v>8.3299999999999999E-2</v>
      </c>
    </row>
    <row r="7" spans="1:20" x14ac:dyDescent="0.2">
      <c r="B7" s="43" t="s">
        <v>377</v>
      </c>
      <c r="C7" s="43" t="s">
        <v>378</v>
      </c>
      <c r="D7" s="43" t="s">
        <v>6</v>
      </c>
      <c r="E7" s="43" t="s">
        <v>379</v>
      </c>
      <c r="F7" s="237">
        <v>41.219276000000001</v>
      </c>
      <c r="G7" s="237">
        <v>7254.7764960000004</v>
      </c>
      <c r="H7" s="237">
        <v>12805.67546</v>
      </c>
      <c r="I7" s="237">
        <v>393.618313</v>
      </c>
      <c r="J7" s="237">
        <v>9232.731151</v>
      </c>
      <c r="K7" s="223">
        <v>5.3999999999999999E-2</v>
      </c>
      <c r="L7" s="237">
        <v>865.56712000000005</v>
      </c>
      <c r="M7" s="222">
        <f t="shared" si="0"/>
        <v>6.7592461069601401E-2</v>
      </c>
      <c r="N7" s="263">
        <f t="shared" si="1"/>
        <v>0.72098743872117466</v>
      </c>
      <c r="O7" s="263">
        <f t="shared" si="2"/>
        <v>10.666684232414003</v>
      </c>
      <c r="P7" s="263">
        <f t="shared" si="3"/>
        <v>18.430993316106207</v>
      </c>
      <c r="Q7" s="263">
        <f t="shared" si="4"/>
        <v>0.16390187144411672</v>
      </c>
      <c r="R7" s="237">
        <v>2098.8741730000002</v>
      </c>
      <c r="S7" s="263">
        <f t="shared" si="5"/>
        <v>2.4248543232557171</v>
      </c>
      <c r="T7" s="54">
        <v>9.06E-2</v>
      </c>
    </row>
    <row r="8" spans="1:20" x14ac:dyDescent="0.2">
      <c r="B8" s="43" t="s">
        <v>380</v>
      </c>
      <c r="C8" s="43" t="s">
        <v>381</v>
      </c>
      <c r="D8" s="43" t="s">
        <v>6</v>
      </c>
      <c r="E8" s="43" t="s">
        <v>373</v>
      </c>
      <c r="F8" s="237">
        <v>169.36000100000001</v>
      </c>
      <c r="G8" s="237">
        <v>68851.608609999996</v>
      </c>
      <c r="H8" s="237">
        <v>11027.21</v>
      </c>
      <c r="I8" s="237">
        <v>1930.8209999999999</v>
      </c>
      <c r="J8" s="237">
        <v>71336.395610000007</v>
      </c>
      <c r="K8" s="223">
        <v>8.6999999999999994E-2</v>
      </c>
      <c r="L8" s="237">
        <v>3034.9259999999999</v>
      </c>
      <c r="M8" s="222">
        <f t="shared" si="0"/>
        <v>0.27522156556372829</v>
      </c>
      <c r="N8" s="263">
        <f t="shared" ref="N8:N11" si="6">J8/H8</f>
        <v>6.4691246117558308</v>
      </c>
      <c r="O8" s="263">
        <f t="shared" ref="O8:O11" si="7">J8/L8</f>
        <v>23.505151562179773</v>
      </c>
      <c r="P8" s="263">
        <f t="shared" ref="P8:P11" si="8">G8/I8</f>
        <v>35.659239572181988</v>
      </c>
      <c r="Q8" s="263">
        <f t="shared" ref="Q8:Q11" si="9">R8/H8</f>
        <v>0.24802130366611322</v>
      </c>
      <c r="R8" s="237">
        <v>2734.9830000000002</v>
      </c>
      <c r="S8" s="263">
        <f t="shared" ref="S8:S11" si="10">R8/L8</f>
        <v>0.90116958370648914</v>
      </c>
      <c r="T8" s="54">
        <v>1.89E-2</v>
      </c>
    </row>
    <row r="9" spans="1:20" x14ac:dyDescent="0.2">
      <c r="B9" s="43" t="s">
        <v>382</v>
      </c>
      <c r="C9" s="43" t="s">
        <v>383</v>
      </c>
      <c r="D9" s="43" t="s">
        <v>6</v>
      </c>
      <c r="E9" s="43" t="s">
        <v>384</v>
      </c>
      <c r="F9" s="237">
        <v>29.77</v>
      </c>
      <c r="G9" s="237">
        <v>50912.332245999998</v>
      </c>
      <c r="H9" s="237">
        <v>46070</v>
      </c>
      <c r="I9" s="237">
        <v>1868</v>
      </c>
      <c r="J9" s="237">
        <v>56729.332245999998</v>
      </c>
      <c r="K9" s="223">
        <v>9.7000000000000003E-2</v>
      </c>
      <c r="L9" s="237">
        <v>4485</v>
      </c>
      <c r="M9" s="222">
        <f t="shared" si="0"/>
        <v>9.7351855871499887E-2</v>
      </c>
      <c r="N9" s="263">
        <f t="shared" si="6"/>
        <v>1.2313725254178425</v>
      </c>
      <c r="O9" s="263">
        <f t="shared" si="7"/>
        <v>12.648680545373466</v>
      </c>
      <c r="P9" s="263">
        <f t="shared" si="8"/>
        <v>27.254995849036401</v>
      </c>
      <c r="Q9" s="263">
        <f t="shared" si="9"/>
        <v>0.13928803993922292</v>
      </c>
      <c r="R9" s="237">
        <v>6417</v>
      </c>
      <c r="S9" s="263">
        <f t="shared" si="10"/>
        <v>1.4307692307692308</v>
      </c>
      <c r="T9" s="54" t="s">
        <v>291</v>
      </c>
    </row>
    <row r="10" spans="1:20" ht="16" thickBot="1" x14ac:dyDescent="0.25">
      <c r="B10" s="43" t="s">
        <v>385</v>
      </c>
      <c r="C10" s="43" t="s">
        <v>386</v>
      </c>
      <c r="D10" s="43" t="s">
        <v>6</v>
      </c>
      <c r="E10" s="43" t="s">
        <v>384</v>
      </c>
      <c r="F10" s="237">
        <v>6.8044710000000004</v>
      </c>
      <c r="G10" s="237">
        <v>17300.823091999999</v>
      </c>
      <c r="H10" s="237">
        <v>6908.0001339999999</v>
      </c>
      <c r="I10" s="237">
        <v>470.00000899999998</v>
      </c>
      <c r="J10" s="237">
        <v>22445.716988</v>
      </c>
      <c r="K10" s="223">
        <v>-5.0000000000000001E-3</v>
      </c>
      <c r="L10" s="237">
        <v>1474.0000299999999</v>
      </c>
      <c r="M10" s="222">
        <f t="shared" si="0"/>
        <v>0.21337579638211396</v>
      </c>
      <c r="N10" s="263">
        <f t="shared" si="6"/>
        <v>3.249235169745583</v>
      </c>
      <c r="O10" s="263">
        <f t="shared" si="7"/>
        <v>15.227758840683336</v>
      </c>
      <c r="P10" s="263">
        <f t="shared" si="8"/>
        <v>36.810261192995</v>
      </c>
      <c r="Q10" s="263">
        <f t="shared" si="9"/>
        <v>0.55138967314907128</v>
      </c>
      <c r="R10" s="237">
        <v>3808.9999360000002</v>
      </c>
      <c r="S10" s="263">
        <f t="shared" si="10"/>
        <v>2.5841247343800937</v>
      </c>
      <c r="T10" s="54">
        <v>5.1400000000000001E-2</v>
      </c>
    </row>
    <row r="11" spans="1:20" ht="16" thickBot="1" x14ac:dyDescent="0.25">
      <c r="B11" s="160" t="str">
        <f>[1]Input!B1</f>
        <v>ABM Industries Inc</v>
      </c>
      <c r="C11" s="161" t="str">
        <f>[1]Summary!B2</f>
        <v>ABM</v>
      </c>
      <c r="D11" s="161" t="str">
        <f>[1]Summary!B3</f>
        <v>USD</v>
      </c>
      <c r="E11" s="238" t="s">
        <v>373</v>
      </c>
      <c r="F11" s="241">
        <v>40.639999000000003</v>
      </c>
      <c r="G11" s="239">
        <v>2468.1818050000002</v>
      </c>
      <c r="H11" s="239">
        <v>8874.5</v>
      </c>
      <c r="I11" s="239">
        <v>157.6</v>
      </c>
      <c r="J11" s="239">
        <v>4004.7818050000001</v>
      </c>
      <c r="K11" s="240">
        <v>5.6000000000000001E-2</v>
      </c>
      <c r="L11" s="241">
        <v>496.6</v>
      </c>
      <c r="M11" s="192">
        <f t="shared" si="0"/>
        <v>5.5958082145472987E-2</v>
      </c>
      <c r="N11" s="200">
        <f t="shared" si="6"/>
        <v>0.45126844385599191</v>
      </c>
      <c r="O11" s="200">
        <f t="shared" si="7"/>
        <v>8.0644015404752309</v>
      </c>
      <c r="P11" s="200">
        <f t="shared" si="8"/>
        <v>15.661052062182742</v>
      </c>
      <c r="Q11" s="200">
        <f t="shared" si="9"/>
        <v>0.18459631528536818</v>
      </c>
      <c r="R11" s="241">
        <v>1638.2</v>
      </c>
      <c r="S11" s="200">
        <f t="shared" si="10"/>
        <v>3.2988320579943617</v>
      </c>
      <c r="T11" s="240">
        <v>5.7500000000000002E-2</v>
      </c>
    </row>
    <row r="12" spans="1:20" x14ac:dyDescent="0.2">
      <c r="B12" s="1" t="s">
        <v>444</v>
      </c>
      <c r="E12" s="8"/>
      <c r="F12" s="302"/>
      <c r="G12" s="304">
        <f>PERCENTILE(G5:G10, 0.25)</f>
        <v>8904.4411304999994</v>
      </c>
      <c r="H12" s="303"/>
      <c r="I12" s="303"/>
      <c r="J12" s="304">
        <f t="shared" ref="J12:T12" si="11">PERCENTILE(J5:J10, 0.25)</f>
        <v>13535.4251315</v>
      </c>
      <c r="K12" s="216">
        <f t="shared" si="11"/>
        <v>4.9500000000000002E-2</v>
      </c>
      <c r="L12" s="304">
        <f t="shared" si="11"/>
        <v>1329.4195075</v>
      </c>
      <c r="M12" s="222">
        <f t="shared" si="11"/>
        <v>6.774483861691892E-2</v>
      </c>
      <c r="N12" s="191">
        <f t="shared" si="11"/>
        <v>0.78122981095226152</v>
      </c>
      <c r="O12" s="191">
        <f t="shared" si="11"/>
        <v>11.162183310653869</v>
      </c>
      <c r="P12" s="191">
        <f t="shared" si="11"/>
        <v>20.636993949338756</v>
      </c>
      <c r="Q12" s="191">
        <f t="shared" si="11"/>
        <v>0.1688361181130455</v>
      </c>
      <c r="R12" s="304">
        <f t="shared" si="11"/>
        <v>3003.4872340000002</v>
      </c>
      <c r="S12" s="191">
        <f t="shared" si="11"/>
        <v>1.6792905038908523</v>
      </c>
      <c r="T12" s="222">
        <f t="shared" si="11"/>
        <v>4.1399999999999999E-2</v>
      </c>
    </row>
    <row r="13" spans="1:20" x14ac:dyDescent="0.2">
      <c r="B13" s="1" t="s">
        <v>278</v>
      </c>
      <c r="G13" s="191">
        <f>MEDIAN(G5:G10)</f>
        <v>14835.5084995</v>
      </c>
      <c r="H13" s="191"/>
      <c r="I13" s="191"/>
      <c r="J13" s="191">
        <f t="shared" ref="J13:T13" si="12">MEDIAN(J5:J10)</f>
        <v>20258.405442499999</v>
      </c>
      <c r="K13" s="222">
        <f t="shared" si="12"/>
        <v>6.2350000000000003E-2</v>
      </c>
      <c r="L13" s="191">
        <f t="shared" si="12"/>
        <v>1524.1319800000001</v>
      </c>
      <c r="M13" s="24">
        <f t="shared" si="12"/>
        <v>8.2776913565185684E-2</v>
      </c>
      <c r="N13" s="191">
        <f t="shared" si="12"/>
        <v>1.0966647265316825</v>
      </c>
      <c r="O13" s="191">
        <f t="shared" si="12"/>
        <v>13.37660657738239</v>
      </c>
      <c r="P13" s="191">
        <f t="shared" si="12"/>
        <v>31.457117710609197</v>
      </c>
      <c r="Q13" s="191">
        <f t="shared" si="12"/>
        <v>0.21583008089297251</v>
      </c>
      <c r="R13" s="191">
        <f t="shared" si="12"/>
        <v>4401.6806025000005</v>
      </c>
      <c r="S13" s="191">
        <f t="shared" si="12"/>
        <v>2.5044895288179054</v>
      </c>
      <c r="T13" s="28">
        <f t="shared" si="12"/>
        <v>5.1400000000000001E-2</v>
      </c>
    </row>
    <row r="14" spans="1:20" x14ac:dyDescent="0.2">
      <c r="B14" s="1" t="s">
        <v>279</v>
      </c>
      <c r="G14" s="191">
        <f>AVERAGE(G5:G10)</f>
        <v>27406.487426000003</v>
      </c>
      <c r="H14" s="191"/>
      <c r="I14" s="191"/>
      <c r="J14" s="191">
        <f t="shared" ref="J14:T14" si="13">AVERAGE(J5:J10)</f>
        <v>31639.800905833337</v>
      </c>
      <c r="K14" s="222">
        <f t="shared" si="13"/>
        <v>5.8616666666666671E-2</v>
      </c>
      <c r="L14" s="191">
        <f t="shared" si="13"/>
        <v>2119.1638466666668</v>
      </c>
      <c r="M14" s="24">
        <f t="shared" si="13"/>
        <v>0.12993802254180317</v>
      </c>
      <c r="N14" s="191">
        <f t="shared" si="13"/>
        <v>2.1791288188627451</v>
      </c>
      <c r="O14" s="191">
        <f t="shared" si="13"/>
        <v>13.965061332408004</v>
      </c>
      <c r="P14" s="191">
        <f t="shared" si="13"/>
        <v>28.695431477495234</v>
      </c>
      <c r="Q14" s="191">
        <f t="shared" si="13"/>
        <v>0.26817328241531196</v>
      </c>
      <c r="R14" s="191">
        <f t="shared" si="13"/>
        <v>4353.0435630000002</v>
      </c>
      <c r="S14" s="191">
        <f t="shared" si="13"/>
        <v>2.5410706374871421</v>
      </c>
      <c r="T14" s="28">
        <f t="shared" si="13"/>
        <v>5.711999999999999E-2</v>
      </c>
    </row>
    <row r="16" spans="1:20" x14ac:dyDescent="0.2">
      <c r="B16" s="162" t="s">
        <v>370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</row>
    <row r="17" spans="2:20" x14ac:dyDescent="0.2">
      <c r="B17" s="43" t="s">
        <v>387</v>
      </c>
      <c r="C17" s="43" t="s">
        <v>388</v>
      </c>
      <c r="D17" s="43" t="s">
        <v>6</v>
      </c>
      <c r="E17" s="43" t="s">
        <v>373</v>
      </c>
      <c r="F17" s="237">
        <v>54.189999</v>
      </c>
      <c r="G17" s="237">
        <v>26090.515898000001</v>
      </c>
      <c r="H17" s="237">
        <v>3844.97</v>
      </c>
      <c r="I17" s="237">
        <v>857.3</v>
      </c>
      <c r="J17" s="237">
        <v>26624.525898</v>
      </c>
      <c r="K17" s="223">
        <v>0.11</v>
      </c>
      <c r="L17" s="237">
        <v>865.57</v>
      </c>
      <c r="M17" s="222">
        <f t="shared" ref="M17:M24" si="14">L17/H17</f>
        <v>0.22511749116378024</v>
      </c>
      <c r="N17" s="263">
        <f>J17/H17</f>
        <v>6.9245080970722794</v>
      </c>
      <c r="O17" s="263">
        <f>J17/L17</f>
        <v>30.759529440715365</v>
      </c>
      <c r="P17" s="263">
        <f>G17/I17</f>
        <v>30.433355765776277</v>
      </c>
      <c r="Q17" s="263">
        <f>R17/H17</f>
        <v>0.24723209803977667</v>
      </c>
      <c r="R17" s="237">
        <v>950.6</v>
      </c>
      <c r="S17" s="263">
        <f>R17/L17</f>
        <v>1.0982358445879594</v>
      </c>
      <c r="T17" s="54">
        <v>2.24E-2</v>
      </c>
    </row>
    <row r="18" spans="2:20" x14ac:dyDescent="0.2">
      <c r="B18" s="43" t="s">
        <v>389</v>
      </c>
      <c r="C18" s="43" t="s">
        <v>390</v>
      </c>
      <c r="D18" s="43" t="s">
        <v>6</v>
      </c>
      <c r="E18" s="43" t="s">
        <v>373</v>
      </c>
      <c r="F18" s="237">
        <v>263.42001299999998</v>
      </c>
      <c r="G18" s="237">
        <v>75044.201587000003</v>
      </c>
      <c r="H18" s="237">
        <v>16081.2</v>
      </c>
      <c r="I18" s="237">
        <v>2075.6</v>
      </c>
      <c r="J18" s="237">
        <v>82973.001587000006</v>
      </c>
      <c r="K18" s="223">
        <v>2.1999999999999999E-2</v>
      </c>
      <c r="L18" s="237">
        <v>3874.3</v>
      </c>
      <c r="M18" s="222">
        <f t="shared" si="14"/>
        <v>0.24092107554162626</v>
      </c>
      <c r="N18" s="263">
        <f t="shared" ref="N18:N19" si="15">J18/H18</f>
        <v>5.159627489677387</v>
      </c>
      <c r="O18" s="263">
        <f t="shared" ref="O18:O19" si="16">J18/L18</f>
        <v>21.416256249386986</v>
      </c>
      <c r="P18" s="263">
        <f t="shared" ref="P18:P19" si="17">G18/I18</f>
        <v>36.155425701965697</v>
      </c>
      <c r="Q18" s="263">
        <f t="shared" ref="Q18:Q19" si="18">R18/H18</f>
        <v>0.51932069746038845</v>
      </c>
      <c r="R18" s="237">
        <v>8351.2999999999993</v>
      </c>
      <c r="S18" s="263">
        <f t="shared" ref="S18:S19" si="19">R18/L18</f>
        <v>2.1555635856799937</v>
      </c>
      <c r="T18" s="54">
        <v>2.5399999999999999E-2</v>
      </c>
    </row>
    <row r="19" spans="2:20" x14ac:dyDescent="0.2">
      <c r="B19" s="43" t="s">
        <v>391</v>
      </c>
      <c r="C19" s="43" t="s">
        <v>392</v>
      </c>
      <c r="D19" s="43" t="s">
        <v>6</v>
      </c>
      <c r="E19" s="43" t="s">
        <v>373</v>
      </c>
      <c r="F19" s="237">
        <v>943.75</v>
      </c>
      <c r="G19" s="237">
        <v>42088.701874999999</v>
      </c>
      <c r="H19" s="237">
        <v>17747.282999999999</v>
      </c>
      <c r="I19" s="237">
        <v>1337.6</v>
      </c>
      <c r="J19" s="237">
        <v>41173.318874999997</v>
      </c>
      <c r="K19" s="223">
        <v>0.183</v>
      </c>
      <c r="L19" s="237">
        <v>1850.68</v>
      </c>
      <c r="M19" s="222">
        <f t="shared" si="14"/>
        <v>0.10427962409795348</v>
      </c>
      <c r="N19" s="263">
        <f t="shared" si="15"/>
        <v>2.3199787187142955</v>
      </c>
      <c r="O19" s="263">
        <f t="shared" si="16"/>
        <v>22.247670518404043</v>
      </c>
      <c r="P19" s="263">
        <f t="shared" si="17"/>
        <v>31.465835731907895</v>
      </c>
      <c r="Q19" s="263">
        <f t="shared" si="18"/>
        <v>-2.2538661270009613E-2</v>
      </c>
      <c r="R19" s="237">
        <v>-400</v>
      </c>
      <c r="S19" s="263">
        <f t="shared" si="19"/>
        <v>-0.21613677134890957</v>
      </c>
      <c r="T19" s="54">
        <v>4.3099999999999999E-2</v>
      </c>
    </row>
    <row r="20" spans="2:20" x14ac:dyDescent="0.2">
      <c r="B20" s="43" t="s">
        <v>393</v>
      </c>
      <c r="C20" s="43" t="s">
        <v>394</v>
      </c>
      <c r="D20" s="43" t="s">
        <v>6</v>
      </c>
      <c r="E20" s="43" t="s">
        <v>373</v>
      </c>
      <c r="F20" s="237">
        <v>2011.48999</v>
      </c>
      <c r="G20" s="237">
        <v>70931.393309999999</v>
      </c>
      <c r="H20" s="237">
        <v>10135.687</v>
      </c>
      <c r="I20" s="237">
        <v>1223.5999999999999</v>
      </c>
      <c r="J20" s="237">
        <v>69855.508310000005</v>
      </c>
      <c r="K20" s="223">
        <v>0.38400000000000001</v>
      </c>
      <c r="L20" s="237">
        <v>1736.2829999999999</v>
      </c>
      <c r="M20" s="222">
        <f t="shared" si="14"/>
        <v>0.1713039283868967</v>
      </c>
      <c r="N20" s="263">
        <f>J20/H20</f>
        <v>6.8920348773595714</v>
      </c>
      <c r="O20" s="263">
        <f>J20/L20</f>
        <v>40.232789418545252</v>
      </c>
      <c r="P20" s="263">
        <f>G20/I20</f>
        <v>57.969428988231449</v>
      </c>
      <c r="Q20" s="263">
        <f>R20/H20</f>
        <v>-7.2614712747147772E-2</v>
      </c>
      <c r="R20" s="237">
        <v>-736</v>
      </c>
      <c r="S20" s="263">
        <f>R20/L20</f>
        <v>-0.42389403109976892</v>
      </c>
      <c r="T20" s="54">
        <v>3.1099999999999999E-2</v>
      </c>
    </row>
    <row r="21" spans="2:20" x14ac:dyDescent="0.2">
      <c r="B21" s="43" t="s">
        <v>395</v>
      </c>
      <c r="C21" s="43" t="s">
        <v>396</v>
      </c>
      <c r="D21" s="43" t="s">
        <v>6</v>
      </c>
      <c r="E21" s="43" t="s">
        <v>373</v>
      </c>
      <c r="F21" s="237">
        <v>145.16000399999999</v>
      </c>
      <c r="G21" s="237">
        <v>43172.351613999999</v>
      </c>
      <c r="H21" s="237">
        <v>42168</v>
      </c>
      <c r="I21" s="237">
        <v>1312</v>
      </c>
      <c r="J21" s="237">
        <v>49281.351613999999</v>
      </c>
      <c r="K21" s="223">
        <v>0.14799999999999999</v>
      </c>
      <c r="L21" s="237">
        <v>1962</v>
      </c>
      <c r="M21" s="222">
        <f t="shared" si="14"/>
        <v>4.6528173022196924E-2</v>
      </c>
      <c r="N21" s="263">
        <f>J21/H21</f>
        <v>1.1686907516125973</v>
      </c>
      <c r="O21" s="263">
        <f>J21/L21</f>
        <v>25.117916215086645</v>
      </c>
      <c r="P21" s="263">
        <f>G21/I21</f>
        <v>32.905755803353657</v>
      </c>
      <c r="Q21" s="263">
        <f>R21/H21</f>
        <v>5.672547903623601E-2</v>
      </c>
      <c r="R21" s="237">
        <v>2392</v>
      </c>
      <c r="S21" s="263">
        <f>R21/L21</f>
        <v>1.219164118246687</v>
      </c>
      <c r="T21" s="54">
        <v>2.47E-2</v>
      </c>
    </row>
    <row r="22" spans="2:20" x14ac:dyDescent="0.2">
      <c r="B22" s="43" t="s">
        <v>397</v>
      </c>
      <c r="C22" s="43" t="s">
        <v>398</v>
      </c>
      <c r="D22" s="43" t="s">
        <v>6</v>
      </c>
      <c r="E22" s="43" t="s">
        <v>373</v>
      </c>
      <c r="F22" s="237">
        <v>325.51998900000001</v>
      </c>
      <c r="G22" s="237">
        <v>15568.486837</v>
      </c>
      <c r="H22" s="237">
        <v>26755.7</v>
      </c>
      <c r="I22" s="237">
        <v>896</v>
      </c>
      <c r="J22" s="237">
        <v>17371.186837000001</v>
      </c>
      <c r="K22" s="223">
        <v>0.112</v>
      </c>
      <c r="L22" s="237">
        <v>1482.5</v>
      </c>
      <c r="M22" s="222">
        <f t="shared" si="14"/>
        <v>5.5408754022507355E-2</v>
      </c>
      <c r="N22" s="263">
        <f>J22/H22</f>
        <v>0.64925181688387901</v>
      </c>
      <c r="O22" s="263">
        <f>J22/L22</f>
        <v>11.717495336930861</v>
      </c>
      <c r="P22" s="263">
        <f>G22/I22</f>
        <v>17.37554334486607</v>
      </c>
      <c r="Q22" s="263">
        <f>R22/H22</f>
        <v>0.12965461565199191</v>
      </c>
      <c r="R22" s="237">
        <v>3469</v>
      </c>
      <c r="S22" s="263">
        <f>R22/L22</f>
        <v>2.339966273187184</v>
      </c>
      <c r="T22" s="54">
        <v>6.3399999999999998E-2</v>
      </c>
    </row>
    <row r="23" spans="2:20" ht="16" thickBot="1" x14ac:dyDescent="0.25">
      <c r="B23" s="43" t="s">
        <v>399</v>
      </c>
      <c r="C23" s="43" t="s">
        <v>400</v>
      </c>
      <c r="D23" s="43" t="s">
        <v>6</v>
      </c>
      <c r="E23" s="43" t="s">
        <v>373</v>
      </c>
      <c r="F23" s="237">
        <v>109.010002</v>
      </c>
      <c r="G23" s="237">
        <v>4577.651887</v>
      </c>
      <c r="H23" s="237">
        <v>5389.6</v>
      </c>
      <c r="I23" s="237">
        <v>180</v>
      </c>
      <c r="J23" s="237">
        <v>6885.3518869999998</v>
      </c>
      <c r="K23" s="223">
        <v>7.2999999999999995E-2</v>
      </c>
      <c r="L23" s="237">
        <v>875.6</v>
      </c>
      <c r="M23" s="222">
        <f t="shared" si="14"/>
        <v>0.1624610360694671</v>
      </c>
      <c r="N23" s="263">
        <f>J23/H23</f>
        <v>1.2775255839023303</v>
      </c>
      <c r="O23" s="263">
        <f>J23/L23</f>
        <v>7.8635814150296932</v>
      </c>
      <c r="P23" s="263">
        <f>G23/I23</f>
        <v>25.431399372222224</v>
      </c>
      <c r="Q23" s="263">
        <f>R23/H23</f>
        <v>0.43992132996882882</v>
      </c>
      <c r="R23" s="237">
        <v>2371</v>
      </c>
      <c r="S23" s="263">
        <f>R23/L23</f>
        <v>2.7078574691640016</v>
      </c>
      <c r="T23" s="54">
        <v>8.7999999999999995E-2</v>
      </c>
    </row>
    <row r="24" spans="2:20" ht="16" thickBot="1" x14ac:dyDescent="0.25">
      <c r="B24" s="160" t="str">
        <f>B11</f>
        <v>ABM Industries Inc</v>
      </c>
      <c r="C24" s="161" t="s">
        <v>290</v>
      </c>
      <c r="D24" s="161" t="s">
        <v>6</v>
      </c>
      <c r="E24" s="238" t="s">
        <v>373</v>
      </c>
      <c r="F24" s="241">
        <v>40.639999000000003</v>
      </c>
      <c r="G24" s="239">
        <v>2468.1818050000002</v>
      </c>
      <c r="H24" s="239">
        <v>8874.5</v>
      </c>
      <c r="I24" s="239">
        <v>157.6</v>
      </c>
      <c r="J24" s="239">
        <v>4004.7818050000001</v>
      </c>
      <c r="K24" s="240">
        <v>5.6000000000000001E-2</v>
      </c>
      <c r="L24" s="241">
        <v>496.6</v>
      </c>
      <c r="M24" s="192">
        <f t="shared" si="14"/>
        <v>5.5958082145472987E-2</v>
      </c>
      <c r="N24" s="200">
        <f t="shared" ref="N24" si="20">J24/H24</f>
        <v>0.45126844385599191</v>
      </c>
      <c r="O24" s="200">
        <f t="shared" ref="O24" si="21">J24/L24</f>
        <v>8.0644015404752309</v>
      </c>
      <c r="P24" s="200">
        <f t="shared" ref="P24" si="22">G24/I24</f>
        <v>15.661052062182742</v>
      </c>
      <c r="Q24" s="200">
        <f t="shared" ref="Q24" si="23">R24/H24</f>
        <v>0.18459631528536818</v>
      </c>
      <c r="R24" s="241">
        <v>1638.2</v>
      </c>
      <c r="S24" s="200">
        <v>3.7859949156459445</v>
      </c>
      <c r="T24" s="240">
        <v>5.7500000000000002E-2</v>
      </c>
    </row>
    <row r="25" spans="2:20" x14ac:dyDescent="0.2">
      <c r="B25" s="1" t="s">
        <v>278</v>
      </c>
      <c r="G25" s="191">
        <f>MEDIAN(G17:G23)</f>
        <v>42088.701874999999</v>
      </c>
      <c r="H25" s="191"/>
      <c r="I25" s="191"/>
      <c r="J25" s="191">
        <f t="shared" ref="J25:T25" si="24">MEDIAN(J17:J23)</f>
        <v>41173.318874999997</v>
      </c>
      <c r="K25" s="191">
        <f t="shared" si="24"/>
        <v>0.112</v>
      </c>
      <c r="L25" s="191">
        <f t="shared" si="24"/>
        <v>1736.2829999999999</v>
      </c>
      <c r="M25" s="24">
        <f t="shared" si="24"/>
        <v>0.1624610360694671</v>
      </c>
      <c r="N25" s="191">
        <f t="shared" si="24"/>
        <v>2.3199787187142955</v>
      </c>
      <c r="O25" s="191">
        <f t="shared" si="24"/>
        <v>22.247670518404043</v>
      </c>
      <c r="P25" s="191">
        <f t="shared" si="24"/>
        <v>31.465835731907895</v>
      </c>
      <c r="Q25" s="191">
        <f t="shared" si="24"/>
        <v>0.12965461565199191</v>
      </c>
      <c r="R25" s="191">
        <f t="shared" si="24"/>
        <v>2371</v>
      </c>
      <c r="S25" s="191">
        <f t="shared" si="24"/>
        <v>1.219164118246687</v>
      </c>
      <c r="T25" s="191">
        <f t="shared" si="24"/>
        <v>3.1099999999999999E-2</v>
      </c>
    </row>
    <row r="26" spans="2:20" x14ac:dyDescent="0.2">
      <c r="B26" s="1" t="s">
        <v>279</v>
      </c>
      <c r="G26" s="191">
        <f>AVERAGE(G17:G23)</f>
        <v>39639.043286857144</v>
      </c>
      <c r="H26" s="191"/>
      <c r="I26" s="191"/>
      <c r="J26" s="191">
        <f t="shared" ref="J26:T26" si="25">AVERAGE(J17:J23)</f>
        <v>42023.46357257144</v>
      </c>
      <c r="K26" s="191">
        <f t="shared" si="25"/>
        <v>0.14742857142857144</v>
      </c>
      <c r="L26" s="191">
        <f t="shared" si="25"/>
        <v>1806.7047142857143</v>
      </c>
      <c r="M26" s="24">
        <f t="shared" si="25"/>
        <v>0.1437171546149183</v>
      </c>
      <c r="N26" s="191">
        <f t="shared" si="25"/>
        <v>3.4845167621746205</v>
      </c>
      <c r="O26" s="191">
        <f t="shared" si="25"/>
        <v>22.765034084871264</v>
      </c>
      <c r="P26" s="191">
        <f t="shared" si="25"/>
        <v>33.105249244046178</v>
      </c>
      <c r="Q26" s="191">
        <f t="shared" si="25"/>
        <v>0.18538583516286636</v>
      </c>
      <c r="R26" s="191">
        <f t="shared" si="25"/>
        <v>2342.5571428571429</v>
      </c>
      <c r="S26" s="191">
        <f t="shared" si="25"/>
        <v>1.2686794983453069</v>
      </c>
      <c r="T26" s="191">
        <f t="shared" si="25"/>
        <v>4.2585714285714289E-2</v>
      </c>
    </row>
    <row r="31" spans="2:20" ht="16" thickBot="1" x14ac:dyDescent="0.25"/>
    <row r="32" spans="2:20" ht="16" thickBot="1" x14ac:dyDescent="0.25">
      <c r="B32" s="167" t="s">
        <v>280</v>
      </c>
      <c r="C32" s="168"/>
      <c r="D32" s="168"/>
      <c r="E32" s="168"/>
      <c r="F32" s="168"/>
      <c r="G32" s="169"/>
      <c r="K32" s="278" t="s">
        <v>19</v>
      </c>
      <c r="L32" s="279" t="s">
        <v>281</v>
      </c>
      <c r="M32" s="279" t="s">
        <v>282</v>
      </c>
      <c r="N32" s="280" t="s">
        <v>283</v>
      </c>
    </row>
    <row r="33" spans="2:14" x14ac:dyDescent="0.2">
      <c r="B33" s="119"/>
      <c r="G33" s="120"/>
      <c r="K33" s="281">
        <f>(1-K34)/2</f>
        <v>0.2</v>
      </c>
      <c r="L33" s="127" t="s">
        <v>35</v>
      </c>
      <c r="M33" s="277">
        <f>E41</f>
        <v>88.034991059239601</v>
      </c>
      <c r="N33" s="136">
        <f>M33*K33+M34*K34+M35*K35</f>
        <v>67.158528469973021</v>
      </c>
    </row>
    <row r="34" spans="2:14" x14ac:dyDescent="0.2">
      <c r="B34" s="170" t="s">
        <v>366</v>
      </c>
      <c r="C34" s="1" t="s">
        <v>401</v>
      </c>
      <c r="E34" s="264">
        <f>CHOOSE(Segments!I54,N13,N12,N11)</f>
        <v>0.78122981095226152</v>
      </c>
      <c r="F34" s="265"/>
      <c r="G34" s="120" t="s">
        <v>278</v>
      </c>
      <c r="K34" s="193">
        <v>0.6</v>
      </c>
      <c r="L34" s="1" t="s">
        <v>88</v>
      </c>
      <c r="M34" s="164">
        <f>E50</f>
        <v>65.137400857837093</v>
      </c>
      <c r="N34" s="120"/>
    </row>
    <row r="35" spans="2:14" ht="16" thickBot="1" x14ac:dyDescent="0.25">
      <c r="B35" s="170"/>
      <c r="C35" s="1" t="s">
        <v>35</v>
      </c>
      <c r="E35" s="83">
        <f>H11</f>
        <v>8874.5</v>
      </c>
      <c r="F35" s="83"/>
      <c r="G35" s="120"/>
      <c r="K35" s="165">
        <f>1-K33-K34</f>
        <v>0.20000000000000007</v>
      </c>
      <c r="L35" s="124" t="s">
        <v>284</v>
      </c>
      <c r="M35" s="166">
        <f>E55</f>
        <v>52.345448717114188</v>
      </c>
      <c r="N35" s="125"/>
    </row>
    <row r="36" spans="2:14" x14ac:dyDescent="0.2">
      <c r="B36" s="170"/>
      <c r="C36" s="60" t="s">
        <v>262</v>
      </c>
      <c r="D36" s="60"/>
      <c r="E36" s="143">
        <f>E35*E34</f>
        <v>6933.0239572958444</v>
      </c>
      <c r="F36" s="83"/>
      <c r="G36" s="120"/>
    </row>
    <row r="37" spans="2:14" x14ac:dyDescent="0.2">
      <c r="B37" s="170"/>
      <c r="C37" s="1" t="s">
        <v>263</v>
      </c>
      <c r="D37" s="37">
        <f>[1]Model!H177</f>
        <v>0</v>
      </c>
      <c r="E37" s="83">
        <f>[1]DCF!$C$67</f>
        <v>1693.4</v>
      </c>
      <c r="F37" s="83"/>
      <c r="G37" s="120"/>
    </row>
    <row r="38" spans="2:14" x14ac:dyDescent="0.2">
      <c r="B38" s="170"/>
      <c r="C38" s="1" t="s">
        <v>265</v>
      </c>
      <c r="D38" s="37">
        <f>[1]Model!H43</f>
        <v>1.5970910393905819</v>
      </c>
      <c r="E38" s="83">
        <f>[1]DCF!$C$69</f>
        <v>104.1</v>
      </c>
      <c r="F38" s="83"/>
      <c r="G38" s="120"/>
    </row>
    <row r="39" spans="2:14" x14ac:dyDescent="0.2">
      <c r="B39" s="170"/>
      <c r="C39" s="21" t="s">
        <v>285</v>
      </c>
      <c r="D39" s="21"/>
      <c r="E39" s="38">
        <f>E36-E37+E38</f>
        <v>5343.7239572958442</v>
      </c>
      <c r="F39" s="156"/>
      <c r="G39" s="120"/>
    </row>
    <row r="40" spans="2:14" x14ac:dyDescent="0.2">
      <c r="B40" s="170"/>
      <c r="C40" s="1" t="s">
        <v>286</v>
      </c>
      <c r="E40" s="83">
        <f>[1]DCF!$H$50</f>
        <v>60.7</v>
      </c>
      <c r="F40" s="83"/>
      <c r="G40" s="120"/>
    </row>
    <row r="41" spans="2:14" x14ac:dyDescent="0.2">
      <c r="B41" s="170"/>
      <c r="C41" s="21" t="s">
        <v>287</v>
      </c>
      <c r="D41" s="21"/>
      <c r="E41" s="163">
        <f>E39/E40</f>
        <v>88.034991059239601</v>
      </c>
      <c r="F41" s="266"/>
      <c r="G41" s="120"/>
    </row>
    <row r="42" spans="2:14" x14ac:dyDescent="0.2">
      <c r="B42" s="170"/>
      <c r="C42" s="7"/>
      <c r="D42" s="7"/>
      <c r="E42" s="266"/>
      <c r="F42" s="266"/>
      <c r="G42" s="120"/>
    </row>
    <row r="43" spans="2:14" x14ac:dyDescent="0.2">
      <c r="B43" s="170" t="s">
        <v>367</v>
      </c>
      <c r="C43" s="1" t="s">
        <v>402</v>
      </c>
      <c r="E43" s="264">
        <f>CHOOSE(Segments!I54,O13,O12,O11)</f>
        <v>11.162183310653869</v>
      </c>
      <c r="F43" s="265"/>
      <c r="G43" s="120" t="s">
        <v>278</v>
      </c>
    </row>
    <row r="44" spans="2:14" x14ac:dyDescent="0.2">
      <c r="B44" s="170"/>
      <c r="C44" s="1" t="s">
        <v>88</v>
      </c>
      <c r="E44" s="83">
        <f>L24</f>
        <v>496.6</v>
      </c>
      <c r="F44" s="83"/>
      <c r="G44" s="120"/>
    </row>
    <row r="45" spans="2:14" x14ac:dyDescent="0.2">
      <c r="B45" s="170"/>
      <c r="C45" s="60" t="s">
        <v>262</v>
      </c>
      <c r="D45" s="60"/>
      <c r="E45" s="143">
        <f>E44*E43</f>
        <v>5543.140232070712</v>
      </c>
      <c r="F45" s="83"/>
      <c r="G45" s="120"/>
    </row>
    <row r="46" spans="2:14" x14ac:dyDescent="0.2">
      <c r="B46" s="170"/>
      <c r="C46" s="1" t="str">
        <f>[1]DCF!B57</f>
        <v>Less: Debt</v>
      </c>
      <c r="E46" s="83">
        <f>[1]DCF!$C$67</f>
        <v>1693.4</v>
      </c>
      <c r="F46" s="83"/>
      <c r="G46" s="120"/>
    </row>
    <row r="47" spans="2:14" x14ac:dyDescent="0.2">
      <c r="B47" s="170"/>
      <c r="C47" s="1" t="str">
        <f>[1]DCF!B59</f>
        <v>Plus: Cash</v>
      </c>
      <c r="E47" s="83">
        <f>[1]DCF!$C$69</f>
        <v>104.1</v>
      </c>
      <c r="F47" s="83"/>
      <c r="G47" s="120"/>
    </row>
    <row r="48" spans="2:14" x14ac:dyDescent="0.2">
      <c r="B48" s="170"/>
      <c r="C48" s="21" t="s">
        <v>285</v>
      </c>
      <c r="D48" s="21"/>
      <c r="E48" s="38">
        <f>E45-E46+E47</f>
        <v>3953.8402320707119</v>
      </c>
      <c r="F48" s="156"/>
      <c r="G48" s="120"/>
    </row>
    <row r="49" spans="2:9" x14ac:dyDescent="0.2">
      <c r="B49" s="170"/>
      <c r="C49" s="1" t="s">
        <v>286</v>
      </c>
      <c r="E49" s="83">
        <f>[1]DCF!$H$50</f>
        <v>60.7</v>
      </c>
      <c r="F49" s="83"/>
      <c r="G49" s="120"/>
    </row>
    <row r="50" spans="2:9" x14ac:dyDescent="0.2">
      <c r="B50" s="170"/>
      <c r="C50" s="21" t="s">
        <v>287</v>
      </c>
      <c r="D50" s="21"/>
      <c r="E50" s="163">
        <f>E48/E49</f>
        <v>65.137400857837093</v>
      </c>
      <c r="F50" s="266"/>
      <c r="G50" s="120"/>
    </row>
    <row r="51" spans="2:9" x14ac:dyDescent="0.2">
      <c r="B51" s="170"/>
      <c r="G51" s="120"/>
    </row>
    <row r="52" spans="2:9" x14ac:dyDescent="0.2">
      <c r="B52" s="170"/>
      <c r="G52" s="120"/>
    </row>
    <row r="53" spans="2:9" x14ac:dyDescent="0.2">
      <c r="B53" s="170" t="s">
        <v>284</v>
      </c>
      <c r="C53" s="1" t="s">
        <v>284</v>
      </c>
      <c r="E53" s="264">
        <f>CHOOSE(Segments!I54,P13,P12,P11)</f>
        <v>20.636993949338756</v>
      </c>
      <c r="F53" s="265"/>
      <c r="G53" s="120" t="s">
        <v>278</v>
      </c>
      <c r="I53" s="1" t="s">
        <v>403</v>
      </c>
    </row>
    <row r="54" spans="2:9" x14ac:dyDescent="0.2">
      <c r="B54" s="170"/>
      <c r="C54" s="1" t="s">
        <v>288</v>
      </c>
      <c r="E54" s="267">
        <f>[1]Model!I41</f>
        <v>2.53648612029522</v>
      </c>
      <c r="F54" s="83"/>
      <c r="G54" s="120"/>
    </row>
    <row r="55" spans="2:9" x14ac:dyDescent="0.2">
      <c r="B55" s="170"/>
      <c r="C55" s="21" t="s">
        <v>287</v>
      </c>
      <c r="D55" s="21"/>
      <c r="E55" s="163">
        <f>E54*E53</f>
        <v>52.345448717114188</v>
      </c>
      <c r="F55" s="266"/>
      <c r="G55" s="120"/>
    </row>
    <row r="56" spans="2:9" x14ac:dyDescent="0.2">
      <c r="B56" s="170"/>
      <c r="G56" s="120"/>
    </row>
    <row r="57" spans="2:9" ht="16" thickBot="1" x14ac:dyDescent="0.25">
      <c r="B57" s="171"/>
      <c r="C57" s="124"/>
      <c r="D57" s="124"/>
      <c r="E57" s="124"/>
      <c r="F57" s="124"/>
      <c r="G57" s="125"/>
    </row>
    <row r="58" spans="2:9" x14ac:dyDescent="0.2">
      <c r="B58" s="7"/>
    </row>
    <row r="59" spans="2:9" x14ac:dyDescent="0.2">
      <c r="E59" s="7"/>
      <c r="F59" s="7"/>
    </row>
    <row r="61" spans="2:9" x14ac:dyDescent="0.2">
      <c r="E61" s="7"/>
      <c r="F6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F28D-1B0F-AA4F-B3E9-8AB0EDB29AF4}">
  <sheetPr>
    <tabColor theme="8" tint="-0.499984740745262"/>
  </sheetPr>
  <dimension ref="A1"/>
  <sheetViews>
    <sheetView workbookViewId="0">
      <selection activeCell="K37" sqref="K37"/>
    </sheetView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AF3A-87F8-AA46-AA8E-597DF6CE805E}">
  <dimension ref="B3:P31"/>
  <sheetViews>
    <sheetView zoomScale="94" zoomScaleNormal="100" workbookViewId="0">
      <selection activeCell="F22" sqref="F22"/>
    </sheetView>
  </sheetViews>
  <sheetFormatPr baseColWidth="10" defaultColWidth="10.83203125" defaultRowHeight="15" x14ac:dyDescent="0.2"/>
  <cols>
    <col min="1" max="1" width="10.83203125" style="1"/>
    <col min="2" max="2" width="14.6640625" style="1" customWidth="1"/>
    <col min="3" max="3" width="10.83203125" style="1"/>
    <col min="4" max="4" width="12.1640625" style="1" bestFit="1" customWidth="1"/>
    <col min="5" max="14" width="13.6640625" style="1" customWidth="1"/>
    <col min="15" max="15" width="11.33203125" style="1" bestFit="1" customWidth="1"/>
    <col min="16" max="16384" width="10.83203125" style="1"/>
  </cols>
  <sheetData>
    <row r="3" spans="2:16" x14ac:dyDescent="0.2">
      <c r="B3" s="7" t="s">
        <v>353</v>
      </c>
      <c r="E3" s="321" t="s">
        <v>343</v>
      </c>
      <c r="F3" s="321" t="s">
        <v>344</v>
      </c>
      <c r="G3" s="321" t="s">
        <v>345</v>
      </c>
      <c r="H3" s="321" t="s">
        <v>346</v>
      </c>
      <c r="I3" s="321" t="s">
        <v>347</v>
      </c>
      <c r="J3" s="321" t="s">
        <v>348</v>
      </c>
      <c r="K3" s="321" t="s">
        <v>349</v>
      </c>
      <c r="L3" s="321" t="s">
        <v>350</v>
      </c>
      <c r="M3" s="321" t="s">
        <v>351</v>
      </c>
      <c r="N3" s="321" t="s">
        <v>352</v>
      </c>
    </row>
    <row r="4" spans="2:16" x14ac:dyDescent="0.2">
      <c r="B4" s="221" t="s">
        <v>60</v>
      </c>
    </row>
    <row r="5" spans="2:16" x14ac:dyDescent="0.2">
      <c r="B5" s="2" t="s">
        <v>337</v>
      </c>
      <c r="E5" s="261">
        <v>264</v>
      </c>
      <c r="F5" s="269"/>
      <c r="G5" s="270"/>
      <c r="H5" s="259">
        <v>200</v>
      </c>
      <c r="I5" s="271"/>
      <c r="J5" s="271"/>
      <c r="K5" s="271">
        <v>250</v>
      </c>
      <c r="L5" s="269"/>
      <c r="M5" s="269">
        <v>200</v>
      </c>
      <c r="N5" s="269"/>
    </row>
    <row r="6" spans="2:16" x14ac:dyDescent="0.2">
      <c r="B6" s="220" t="s">
        <v>418</v>
      </c>
      <c r="E6" s="261">
        <v>255</v>
      </c>
      <c r="F6" s="1">
        <f>F5</f>
        <v>0</v>
      </c>
      <c r="G6" s="1">
        <f t="shared" ref="G6:N6" si="0">G5</f>
        <v>0</v>
      </c>
      <c r="H6" s="1">
        <f t="shared" si="0"/>
        <v>200</v>
      </c>
      <c r="I6" s="1">
        <f t="shared" si="0"/>
        <v>0</v>
      </c>
      <c r="J6" s="1">
        <f t="shared" si="0"/>
        <v>0</v>
      </c>
      <c r="K6" s="1">
        <f t="shared" si="0"/>
        <v>250</v>
      </c>
      <c r="L6" s="1">
        <f t="shared" si="0"/>
        <v>0</v>
      </c>
      <c r="M6" s="1">
        <f t="shared" si="0"/>
        <v>200</v>
      </c>
      <c r="N6" s="1">
        <f t="shared" si="0"/>
        <v>0</v>
      </c>
    </row>
    <row r="7" spans="2:16" x14ac:dyDescent="0.2">
      <c r="B7" s="220" t="s">
        <v>419</v>
      </c>
      <c r="E7" s="1">
        <f>E5-E6</f>
        <v>9</v>
      </c>
      <c r="F7" s="1">
        <f t="shared" ref="F7:N7" si="1">F5-F6</f>
        <v>0</v>
      </c>
      <c r="G7" s="1">
        <f t="shared" si="1"/>
        <v>0</v>
      </c>
      <c r="H7" s="1">
        <f t="shared" si="1"/>
        <v>0</v>
      </c>
      <c r="I7" s="1">
        <f t="shared" si="1"/>
        <v>0</v>
      </c>
      <c r="J7" s="1">
        <f t="shared" si="1"/>
        <v>0</v>
      </c>
      <c r="K7" s="1">
        <f t="shared" si="1"/>
        <v>0</v>
      </c>
      <c r="L7" s="1">
        <f t="shared" si="1"/>
        <v>0</v>
      </c>
      <c r="M7" s="1">
        <f t="shared" si="1"/>
        <v>0</v>
      </c>
      <c r="N7" s="1">
        <f t="shared" si="1"/>
        <v>0</v>
      </c>
    </row>
    <row r="8" spans="2:16" x14ac:dyDescent="0.2">
      <c r="B8" s="2"/>
      <c r="F8" s="261"/>
      <c r="G8" s="282"/>
      <c r="H8" s="254"/>
      <c r="I8" s="283"/>
      <c r="J8" s="283"/>
      <c r="K8" s="283"/>
      <c r="L8" s="261"/>
      <c r="M8" s="261"/>
      <c r="N8" s="261"/>
    </row>
    <row r="9" spans="2:16" x14ac:dyDescent="0.2">
      <c r="B9" s="2" t="s">
        <v>404</v>
      </c>
      <c r="H9" s="274">
        <v>0.8</v>
      </c>
      <c r="I9" s="273"/>
      <c r="J9" s="273"/>
      <c r="K9" s="275">
        <v>0.8</v>
      </c>
      <c r="L9" s="191"/>
      <c r="M9" s="276">
        <v>0.8</v>
      </c>
      <c r="N9" s="261"/>
    </row>
    <row r="10" spans="2:16" x14ac:dyDescent="0.2">
      <c r="B10" s="2" t="s">
        <v>416</v>
      </c>
      <c r="E10" s="261">
        <v>125</v>
      </c>
      <c r="F10" s="1">
        <f>F9*F5</f>
        <v>0</v>
      </c>
      <c r="G10" s="1">
        <f t="shared" ref="G10:L10" si="2">G9*G5</f>
        <v>0</v>
      </c>
      <c r="H10" s="1">
        <f t="shared" si="2"/>
        <v>160</v>
      </c>
      <c r="I10" s="1">
        <f t="shared" si="2"/>
        <v>0</v>
      </c>
      <c r="J10" s="1">
        <f t="shared" si="2"/>
        <v>0</v>
      </c>
      <c r="K10" s="1">
        <f t="shared" si="2"/>
        <v>200</v>
      </c>
      <c r="L10" s="1">
        <f t="shared" si="2"/>
        <v>0</v>
      </c>
      <c r="M10" s="1">
        <f>M9*M5</f>
        <v>160</v>
      </c>
      <c r="N10" s="1">
        <f>N9*N5</f>
        <v>0</v>
      </c>
    </row>
    <row r="11" spans="2:16" x14ac:dyDescent="0.2">
      <c r="B11" s="220"/>
      <c r="H11" s="219"/>
      <c r="I11" s="228"/>
      <c r="J11" s="228"/>
      <c r="K11" s="228"/>
    </row>
    <row r="12" spans="2:16" x14ac:dyDescent="0.2">
      <c r="B12" s="2"/>
    </row>
    <row r="13" spans="2:16" ht="16" thickBot="1" x14ac:dyDescent="0.25">
      <c r="B13" s="2"/>
      <c r="H13" s="231"/>
    </row>
    <row r="14" spans="2:16" x14ac:dyDescent="0.2">
      <c r="B14" s="311" t="s">
        <v>405</v>
      </c>
      <c r="C14" s="279"/>
      <c r="D14" s="312" t="s">
        <v>406</v>
      </c>
      <c r="E14" s="312" t="s">
        <v>35</v>
      </c>
      <c r="F14" s="313" t="s">
        <v>407</v>
      </c>
      <c r="H14" s="315" t="s">
        <v>422</v>
      </c>
      <c r="I14" s="127"/>
      <c r="J14" s="127"/>
      <c r="K14" s="127"/>
      <c r="L14" s="127"/>
      <c r="M14" s="316"/>
      <c r="N14" s="127"/>
      <c r="O14" s="127"/>
      <c r="P14" s="317"/>
    </row>
    <row r="15" spans="2:16" x14ac:dyDescent="0.2">
      <c r="B15" s="310" t="s">
        <v>408</v>
      </c>
      <c r="D15" s="1">
        <v>742</v>
      </c>
      <c r="E15" s="1">
        <v>1100</v>
      </c>
      <c r="F15" s="232">
        <f t="shared" ref="F15:F20" si="3">E15/D15</f>
        <v>1.4824797843665769</v>
      </c>
      <c r="G15" s="230"/>
      <c r="H15" s="318" t="s">
        <v>423</v>
      </c>
      <c r="L15" s="52"/>
      <c r="P15" s="120"/>
    </row>
    <row r="16" spans="2:16" x14ac:dyDescent="0.2">
      <c r="B16" s="310" t="s">
        <v>409</v>
      </c>
      <c r="D16" s="1">
        <v>170</v>
      </c>
      <c r="E16" s="1">
        <v>72.3</v>
      </c>
      <c r="F16" s="232">
        <f t="shared" si="3"/>
        <v>0.42529411764705882</v>
      </c>
      <c r="G16" s="219"/>
      <c r="H16" s="318" t="s">
        <v>424</v>
      </c>
      <c r="P16" s="120"/>
    </row>
    <row r="17" spans="2:16" x14ac:dyDescent="0.2">
      <c r="B17" s="310" t="s">
        <v>410</v>
      </c>
      <c r="D17" s="1">
        <v>55</v>
      </c>
      <c r="E17" s="1">
        <v>32</v>
      </c>
      <c r="F17" s="232">
        <f t="shared" si="3"/>
        <v>0.58181818181818179</v>
      </c>
      <c r="G17" s="229"/>
      <c r="H17" s="318" t="s">
        <v>425</v>
      </c>
      <c r="L17" s="52"/>
      <c r="P17" s="120"/>
    </row>
    <row r="18" spans="2:16" x14ac:dyDescent="0.2">
      <c r="B18" s="310" t="s">
        <v>412</v>
      </c>
      <c r="D18" s="1">
        <v>118</v>
      </c>
      <c r="E18" s="1">
        <v>78</v>
      </c>
      <c r="F18" s="232">
        <f t="shared" si="3"/>
        <v>0.66101694915254239</v>
      </c>
      <c r="G18" s="229"/>
      <c r="H18" s="318" t="s">
        <v>450</v>
      </c>
      <c r="P18" s="120"/>
    </row>
    <row r="19" spans="2:16" x14ac:dyDescent="0.2">
      <c r="B19" s="310" t="s">
        <v>411</v>
      </c>
      <c r="D19" s="1">
        <v>23</v>
      </c>
      <c r="E19" s="1">
        <v>55</v>
      </c>
      <c r="F19" s="232">
        <f t="shared" si="3"/>
        <v>2.3913043478260869</v>
      </c>
      <c r="G19" s="229"/>
      <c r="H19" s="318" t="s">
        <v>429</v>
      </c>
      <c r="P19" s="120"/>
    </row>
    <row r="20" spans="2:16" ht="16" thickBot="1" x14ac:dyDescent="0.25">
      <c r="B20" s="310" t="s">
        <v>414</v>
      </c>
      <c r="D20" s="1">
        <v>264</v>
      </c>
      <c r="E20" s="1">
        <v>175</v>
      </c>
      <c r="F20" s="232">
        <f t="shared" si="3"/>
        <v>0.66287878787878785</v>
      </c>
      <c r="G20" s="8"/>
      <c r="H20" s="319" t="s">
        <v>453</v>
      </c>
      <c r="I20" s="124"/>
      <c r="J20" s="124"/>
      <c r="K20" s="124"/>
      <c r="L20" s="124"/>
      <c r="M20" s="124"/>
      <c r="N20" s="124"/>
      <c r="O20" s="124"/>
      <c r="P20" s="125"/>
    </row>
    <row r="21" spans="2:16" x14ac:dyDescent="0.2">
      <c r="B21" s="121" t="s">
        <v>415</v>
      </c>
      <c r="C21" s="60"/>
      <c r="D21" s="60"/>
      <c r="E21" s="60"/>
      <c r="F21" s="314">
        <f>AVERAGE(F15:F20)</f>
        <v>1.0341320281148725</v>
      </c>
      <c r="H21" s="8"/>
    </row>
    <row r="22" spans="2:16" ht="16" thickBot="1" x14ac:dyDescent="0.25">
      <c r="B22" s="171" t="s">
        <v>278</v>
      </c>
      <c r="C22" s="124"/>
      <c r="D22" s="124"/>
      <c r="E22" s="124"/>
      <c r="F22" s="233">
        <f>MEDIAN(F15:F20)</f>
        <v>0.66194786851566512</v>
      </c>
    </row>
    <row r="23" spans="2:16" x14ac:dyDescent="0.2">
      <c r="G23" s="34"/>
      <c r="H23" s="34"/>
      <c r="I23" s="34"/>
      <c r="J23" s="34"/>
      <c r="K23" s="34"/>
    </row>
    <row r="24" spans="2:16" x14ac:dyDescent="0.2">
      <c r="G24" s="34"/>
      <c r="H24" s="34"/>
      <c r="I24" s="34"/>
      <c r="J24" s="34"/>
      <c r="K24" s="34"/>
    </row>
    <row r="25" spans="2:16" x14ac:dyDescent="0.2">
      <c r="G25" s="24"/>
      <c r="H25" s="272"/>
      <c r="I25" s="272"/>
      <c r="J25" s="272"/>
      <c r="K25" s="272"/>
    </row>
    <row r="27" spans="2:16" x14ac:dyDescent="0.2">
      <c r="G27" s="52"/>
      <c r="H27" s="52"/>
      <c r="I27" s="52"/>
      <c r="J27" s="52"/>
      <c r="K27" s="52"/>
    </row>
    <row r="28" spans="2:16" x14ac:dyDescent="0.2">
      <c r="B28" s="220"/>
      <c r="H28" s="24"/>
      <c r="I28" s="24"/>
      <c r="J28" s="24"/>
      <c r="K28" s="24"/>
    </row>
    <row r="31" spans="2:16" x14ac:dyDescent="0.2">
      <c r="B31" s="12"/>
      <c r="C31" s="12"/>
      <c r="D31" s="12"/>
      <c r="E31" s="12"/>
      <c r="F31" s="12"/>
      <c r="G31" s="12"/>
      <c r="H31" s="12"/>
      <c r="I31" s="12"/>
      <c r="J31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1375-55E4-4644-BE91-B63A2CEA8287}">
  <dimension ref="A3:P26"/>
  <sheetViews>
    <sheetView zoomScale="106" zoomScaleNormal="106" workbookViewId="0">
      <selection activeCell="G22" sqref="G22"/>
    </sheetView>
  </sheetViews>
  <sheetFormatPr baseColWidth="10" defaultColWidth="10.83203125" defaultRowHeight="15" x14ac:dyDescent="0.2"/>
  <cols>
    <col min="1" max="1" width="10.83203125" style="1"/>
    <col min="2" max="2" width="14.6640625" style="1" customWidth="1"/>
    <col min="3" max="3" width="10.83203125" style="1"/>
    <col min="4" max="4" width="14" style="1" customWidth="1"/>
    <col min="5" max="5" width="12.1640625" style="1" customWidth="1"/>
    <col min="6" max="15" width="13.6640625" style="1" customWidth="1"/>
    <col min="16" max="16" width="11.33203125" style="1" bestFit="1" customWidth="1"/>
    <col min="17" max="16384" width="10.83203125" style="1"/>
  </cols>
  <sheetData>
    <row r="3" spans="2:16" x14ac:dyDescent="0.2">
      <c r="B3" s="7" t="s">
        <v>438</v>
      </c>
      <c r="E3" s="9" t="s">
        <v>432</v>
      </c>
      <c r="F3" s="10" t="s">
        <v>343</v>
      </c>
      <c r="G3" s="10" t="s">
        <v>344</v>
      </c>
      <c r="H3" s="10" t="s">
        <v>345</v>
      </c>
      <c r="I3" s="10" t="s">
        <v>346</v>
      </c>
      <c r="J3" s="10" t="s">
        <v>347</v>
      </c>
      <c r="K3" s="10" t="s">
        <v>348</v>
      </c>
      <c r="L3" s="10" t="s">
        <v>349</v>
      </c>
      <c r="M3" s="10" t="s">
        <v>350</v>
      </c>
      <c r="N3" s="10" t="s">
        <v>351</v>
      </c>
      <c r="O3" s="10" t="s">
        <v>352</v>
      </c>
    </row>
    <row r="4" spans="2:16" x14ac:dyDescent="0.2">
      <c r="B4" s="221" t="s">
        <v>430</v>
      </c>
    </row>
    <row r="5" spans="2:16" x14ac:dyDescent="0.2">
      <c r="B5" s="22" t="s">
        <v>431</v>
      </c>
      <c r="F5" s="261"/>
      <c r="G5" s="261"/>
      <c r="H5" s="282"/>
      <c r="I5" s="254"/>
      <c r="J5" s="283"/>
      <c r="K5" s="283"/>
      <c r="L5" s="283"/>
      <c r="M5" s="261"/>
      <c r="N5" s="261"/>
      <c r="O5" s="261"/>
    </row>
    <row r="6" spans="2:16" x14ac:dyDescent="0.2">
      <c r="B6" s="220" t="s">
        <v>103</v>
      </c>
      <c r="E6" s="219">
        <f>Segments!$H$21</f>
        <v>0.18709836875926844</v>
      </c>
      <c r="F6" s="260">
        <v>0.18</v>
      </c>
      <c r="G6" s="260">
        <v>0.17</v>
      </c>
      <c r="H6" s="260">
        <v>0.16</v>
      </c>
      <c r="I6" s="260">
        <v>0.15</v>
      </c>
      <c r="J6" s="260">
        <v>0.14000000000000001</v>
      </c>
      <c r="K6" s="260">
        <v>0.12</v>
      </c>
      <c r="L6" s="260">
        <v>0.1</v>
      </c>
      <c r="M6" s="260">
        <v>0.1</v>
      </c>
      <c r="N6" s="260">
        <v>0.09</v>
      </c>
      <c r="O6" s="260">
        <v>0.08</v>
      </c>
    </row>
    <row r="7" spans="2:16" x14ac:dyDescent="0.2">
      <c r="B7" s="220" t="s">
        <v>435</v>
      </c>
      <c r="E7" s="57">
        <f>Segments!$H$30</f>
        <v>0.10983432236819539</v>
      </c>
      <c r="F7" s="269"/>
      <c r="G7" s="269"/>
      <c r="H7" s="269"/>
      <c r="I7" s="269"/>
      <c r="J7" s="269"/>
      <c r="K7" s="269"/>
      <c r="L7" s="269"/>
      <c r="M7" s="269"/>
      <c r="N7" s="269"/>
      <c r="O7" s="284">
        <v>0.24</v>
      </c>
      <c r="P7" s="1" t="s">
        <v>434</v>
      </c>
    </row>
    <row r="8" spans="2:16" x14ac:dyDescent="0.2">
      <c r="B8" s="220" t="s">
        <v>433</v>
      </c>
      <c r="E8" s="286">
        <f>Segments!$H$11</f>
        <v>960.6</v>
      </c>
      <c r="F8" s="26">
        <f>(1+F6)*E8</f>
        <v>1133.508</v>
      </c>
      <c r="G8" s="26">
        <f t="shared" ref="G8:O8" si="0">(1+G6)*F8</f>
        <v>1326.20436</v>
      </c>
      <c r="H8" s="26">
        <f t="shared" si="0"/>
        <v>1538.3970575999999</v>
      </c>
      <c r="I8" s="26">
        <f t="shared" si="0"/>
        <v>1769.1566162399997</v>
      </c>
      <c r="J8" s="26">
        <f t="shared" si="0"/>
        <v>2016.8385425135998</v>
      </c>
      <c r="K8" s="26">
        <f t="shared" si="0"/>
        <v>2258.8591676152319</v>
      </c>
      <c r="L8" s="26">
        <f t="shared" si="0"/>
        <v>2484.7450843767551</v>
      </c>
      <c r="M8" s="26">
        <f t="shared" si="0"/>
        <v>2733.2195928144311</v>
      </c>
      <c r="N8" s="26">
        <f t="shared" si="0"/>
        <v>2979.2093561677302</v>
      </c>
      <c r="O8" s="26">
        <f t="shared" si="0"/>
        <v>3217.546104661149</v>
      </c>
    </row>
    <row r="9" spans="2:16" x14ac:dyDescent="0.2">
      <c r="B9" s="220" t="s">
        <v>436</v>
      </c>
      <c r="E9" s="288">
        <f>E8/(SUM(Segments!H$7:'Segments'!H$10)+E8)</f>
        <v>0.10983432236819539</v>
      </c>
      <c r="F9" s="288">
        <f>F8/(SUM(Segments!I$7:'Segments'!I$10)+F8)</f>
        <v>0.12370731677504122</v>
      </c>
      <c r="G9" s="288">
        <f>G8/(SUM(Segments!J$7:'Segments'!J$10)+G8)</f>
        <v>0.13800797834799092</v>
      </c>
      <c r="H9" s="288">
        <f>H8/(SUM(Segments!K$7:'Segments'!K$10)+H8)</f>
        <v>0.15303985721265356</v>
      </c>
      <c r="I9" s="288">
        <f>I8/(SUM(Segments!L$7:'Segments'!L$10)+I8)</f>
        <v>0.16842648642522126</v>
      </c>
      <c r="J9" s="288">
        <f>J8/(SUM(Segments!M$7:'Segments'!M$10)+J8)</f>
        <v>0.18428529583890652</v>
      </c>
      <c r="K9" s="288">
        <f>K8/(SUM(Segments!N$7:'Segments'!N$10)+K8)</f>
        <v>0.19841257795761932</v>
      </c>
      <c r="L9" s="288">
        <f>L8/(SUM(Segments!O$7:'Segments'!O$10)+L8)</f>
        <v>0.21057923129736825</v>
      </c>
      <c r="M9" s="288">
        <f>M8/(SUM(Segments!P$7:'Segments'!P$10)+M8)</f>
        <v>0.22393746097559275</v>
      </c>
      <c r="N9" s="288">
        <f>N8/(SUM(Segments!Q$7:'Segments'!Q$10)+N8)</f>
        <v>0.23622606764372631</v>
      </c>
      <c r="O9" s="288">
        <f>O8/(SUM(Segments!R$7:'Segments'!R$10)+O8)</f>
        <v>0.24724300377524652</v>
      </c>
    </row>
    <row r="10" spans="2:16" x14ac:dyDescent="0.2">
      <c r="B10" s="2"/>
      <c r="F10" s="196"/>
      <c r="L10" s="228"/>
    </row>
    <row r="11" spans="2:16" x14ac:dyDescent="0.2">
      <c r="B11" s="7" t="s">
        <v>437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2:16" x14ac:dyDescent="0.2">
      <c r="B12" s="221" t="s">
        <v>430</v>
      </c>
    </row>
    <row r="13" spans="2:16" x14ac:dyDescent="0.2">
      <c r="B13" s="22" t="s">
        <v>431</v>
      </c>
      <c r="F13" s="261"/>
      <c r="G13" s="261"/>
      <c r="H13" s="282"/>
      <c r="I13" s="254"/>
      <c r="J13" s="283"/>
      <c r="K13" s="283"/>
      <c r="L13" s="283"/>
      <c r="M13" s="261"/>
      <c r="N13" s="261"/>
      <c r="O13" s="261"/>
    </row>
    <row r="14" spans="2:16" x14ac:dyDescent="0.2">
      <c r="B14" s="220" t="s">
        <v>103</v>
      </c>
      <c r="E14" s="219">
        <f>Segments!$H$21</f>
        <v>0.18709836875926844</v>
      </c>
      <c r="F14" s="260">
        <v>0.18</v>
      </c>
      <c r="G14" s="260">
        <v>0.16</v>
      </c>
      <c r="H14" s="260">
        <v>0.14000000000000001</v>
      </c>
      <c r="I14" s="260">
        <v>0.12</v>
      </c>
      <c r="J14" s="260">
        <v>0.1</v>
      </c>
      <c r="K14" s="260">
        <v>0.08</v>
      </c>
      <c r="L14" s="260">
        <v>0.08</v>
      </c>
      <c r="M14" s="260">
        <v>0.06</v>
      </c>
      <c r="N14" s="260">
        <v>0.06</v>
      </c>
      <c r="O14" s="260">
        <v>0.06</v>
      </c>
    </row>
    <row r="15" spans="2:16" x14ac:dyDescent="0.2">
      <c r="B15" s="220" t="s">
        <v>435</v>
      </c>
      <c r="E15" s="57">
        <f>Segments!$H$30</f>
        <v>0.10983432236819539</v>
      </c>
      <c r="F15" s="269"/>
      <c r="G15" s="269"/>
      <c r="H15" s="269"/>
      <c r="I15" s="269"/>
      <c r="J15" s="269"/>
      <c r="K15" s="269"/>
      <c r="L15" s="269"/>
      <c r="M15" s="269"/>
      <c r="N15" s="269"/>
      <c r="O15" s="284">
        <v>0.2</v>
      </c>
      <c r="P15" s="1" t="s">
        <v>434</v>
      </c>
    </row>
    <row r="16" spans="2:16" x14ac:dyDescent="0.2">
      <c r="B16" s="220" t="s">
        <v>433</v>
      </c>
      <c r="E16" s="286">
        <f>Segments!$H$11</f>
        <v>960.6</v>
      </c>
      <c r="F16" s="26">
        <f>(1+F14)*E16</f>
        <v>1133.508</v>
      </c>
      <c r="G16" s="26">
        <f t="shared" ref="G16" si="1">(1+G14)*F16</f>
        <v>1314.8692799999999</v>
      </c>
      <c r="H16" s="26">
        <f t="shared" ref="H16" si="2">(1+H14)*G16</f>
        <v>1498.9509792000001</v>
      </c>
      <c r="I16" s="26">
        <f t="shared" ref="I16" si="3">(1+I14)*H16</f>
        <v>1678.8250967040003</v>
      </c>
      <c r="J16" s="26">
        <f t="shared" ref="J16" si="4">(1+J14)*I16</f>
        <v>1846.7076063744005</v>
      </c>
      <c r="K16" s="26">
        <f t="shared" ref="K16" si="5">(1+K14)*J16</f>
        <v>1994.4442148843527</v>
      </c>
      <c r="L16" s="26">
        <f t="shared" ref="L16" si="6">(1+L14)*K16</f>
        <v>2153.9997520751012</v>
      </c>
      <c r="M16" s="26">
        <f t="shared" ref="M16" si="7">(1+M14)*L16</f>
        <v>2283.2397371996076</v>
      </c>
      <c r="N16" s="26">
        <f t="shared" ref="N16" si="8">(1+N14)*M16</f>
        <v>2420.2341214315843</v>
      </c>
      <c r="O16" s="26">
        <f t="shared" ref="O16" si="9">(1+O14)*N16</f>
        <v>2565.4481687174793</v>
      </c>
    </row>
    <row r="17" spans="1:16" x14ac:dyDescent="0.2">
      <c r="B17" s="220" t="s">
        <v>436</v>
      </c>
      <c r="E17" s="288">
        <f>E16/(SUM(Segments!H$7:'Segments'!H$10)+E16)</f>
        <v>0.10983432236819539</v>
      </c>
      <c r="F17" s="288">
        <f>F16/(SUM(Segments!I$7:'Segments'!I$10)+F16)</f>
        <v>0.12370731677504122</v>
      </c>
      <c r="G17" s="288">
        <f>G16/(SUM(Segments!J$7:'Segments'!J$10)+G16)</f>
        <v>0.1369900102798251</v>
      </c>
      <c r="H17" s="288">
        <f>H16/(SUM(Segments!K$7:'Segments'!K$10)+H16)</f>
        <v>0.14970320850602239</v>
      </c>
      <c r="I17" s="288">
        <f>I16/(SUM(Segments!L$7:'Segments'!L$10)+I16)</f>
        <v>0.16121316928016971</v>
      </c>
      <c r="J17" s="288">
        <f>J16/(SUM(Segments!M$7:'Segments'!M$10)+J16)</f>
        <v>0.17140441813575966</v>
      </c>
      <c r="K17" s="288">
        <f>K16/(SUM(Segments!N$7:'Segments'!N$10)+K16)</f>
        <v>0.17935258832872958</v>
      </c>
      <c r="L17" s="288">
        <f>L16/(SUM(Segments!O$7:'Segments'!O$10)+L16)</f>
        <v>0.18781341475461893</v>
      </c>
      <c r="M17" s="288">
        <f>M16/(SUM(Segments!P$7:'Segments'!P$10)+M16)</f>
        <v>0.19423064947713575</v>
      </c>
      <c r="N17" s="288">
        <f>N16/(SUM(Segments!Q$7:'Segments'!Q$10)+N16)</f>
        <v>0.20080410601592472</v>
      </c>
      <c r="O17" s="288">
        <f>O16/(SUM(Segments!R$7:'Segments'!R$10)+O16)</f>
        <v>0.20753364338341979</v>
      </c>
    </row>
    <row r="18" spans="1:16" x14ac:dyDescent="0.2">
      <c r="B18" s="220"/>
      <c r="F18" s="290"/>
      <c r="G18" s="290"/>
      <c r="H18" s="261"/>
      <c r="I18" s="291"/>
      <c r="J18" s="292"/>
      <c r="K18" s="292"/>
      <c r="L18" s="292"/>
      <c r="M18" s="293"/>
      <c r="N18" s="293"/>
      <c r="O18" s="293"/>
    </row>
    <row r="19" spans="1:16" x14ac:dyDescent="0.2">
      <c r="B19" s="81" t="s">
        <v>439</v>
      </c>
      <c r="F19" s="290"/>
      <c r="G19" s="290"/>
      <c r="H19" s="261"/>
      <c r="I19" s="291"/>
      <c r="J19" s="292"/>
      <c r="K19" s="292"/>
      <c r="L19" s="292"/>
      <c r="M19" s="293"/>
      <c r="N19" s="293"/>
      <c r="O19" s="293"/>
    </row>
    <row r="20" spans="1:16" x14ac:dyDescent="0.2">
      <c r="B20" s="221" t="s">
        <v>430</v>
      </c>
    </row>
    <row r="21" spans="1:16" x14ac:dyDescent="0.2">
      <c r="B21" s="22" t="s">
        <v>431</v>
      </c>
      <c r="F21" s="261"/>
      <c r="G21" s="261"/>
      <c r="H21" s="282"/>
      <c r="I21" s="254"/>
      <c r="J21" s="283"/>
      <c r="K21" s="283"/>
      <c r="L21" s="283"/>
      <c r="M21" s="261"/>
      <c r="N21" s="261"/>
      <c r="O21" s="261"/>
    </row>
    <row r="22" spans="1:16" x14ac:dyDescent="0.2">
      <c r="B22" s="220" t="s">
        <v>103</v>
      </c>
      <c r="E22" s="219">
        <f>Segments!$H$21</f>
        <v>0.18709836875926844</v>
      </c>
      <c r="F22" s="260">
        <v>0.15</v>
      </c>
      <c r="G22" s="260">
        <v>0.1</v>
      </c>
      <c r="H22" s="260">
        <v>0.05</v>
      </c>
      <c r="I22" s="260">
        <v>0.05</v>
      </c>
      <c r="J22" s="260">
        <v>0.04</v>
      </c>
      <c r="K22" s="289">
        <v>0.04</v>
      </c>
      <c r="L22" s="289">
        <v>0.03</v>
      </c>
      <c r="M22" s="289">
        <v>0.03</v>
      </c>
      <c r="N22" s="289">
        <v>0.02</v>
      </c>
      <c r="O22" s="289">
        <v>0.02</v>
      </c>
    </row>
    <row r="23" spans="1:16" x14ac:dyDescent="0.2">
      <c r="A23"/>
      <c r="B23" s="220" t="s">
        <v>435</v>
      </c>
      <c r="E23" s="57">
        <f>Segments!$H$30</f>
        <v>0.10983432236819539</v>
      </c>
      <c r="F23" s="269"/>
      <c r="G23" s="269"/>
      <c r="H23" s="269"/>
      <c r="I23" s="269"/>
      <c r="J23" s="269"/>
      <c r="K23" s="269"/>
      <c r="L23" s="269"/>
      <c r="M23" s="269"/>
      <c r="N23" s="269"/>
      <c r="O23" s="284">
        <v>0.14000000000000001</v>
      </c>
      <c r="P23" s="1" t="s">
        <v>434</v>
      </c>
    </row>
    <row r="24" spans="1:16" x14ac:dyDescent="0.2">
      <c r="B24" s="220" t="s">
        <v>433</v>
      </c>
      <c r="E24" s="286">
        <f>Segments!$H$11</f>
        <v>960.6</v>
      </c>
      <c r="F24" s="26">
        <f>(1+F22)*E24</f>
        <v>1104.6899999999998</v>
      </c>
      <c r="G24" s="26">
        <f t="shared" ref="G24" si="10">(1+G22)*F24</f>
        <v>1215.1589999999999</v>
      </c>
      <c r="H24" s="26">
        <f t="shared" ref="H24" si="11">(1+H22)*G24</f>
        <v>1275.9169499999998</v>
      </c>
      <c r="I24" s="26">
        <f t="shared" ref="I24" si="12">(1+I22)*H24</f>
        <v>1339.7127974999999</v>
      </c>
      <c r="J24" s="26">
        <f t="shared" ref="J24" si="13">(1+J22)*I24</f>
        <v>1393.3013093999998</v>
      </c>
      <c r="K24" s="26">
        <f t="shared" ref="K24" si="14">(1+K22)*J24</f>
        <v>1449.0333617759998</v>
      </c>
      <c r="L24" s="26">
        <f t="shared" ref="L24" si="15">(1+L22)*K24</f>
        <v>1492.5043626292797</v>
      </c>
      <c r="M24" s="26">
        <f t="shared" ref="M24" si="16">(1+M22)*L24</f>
        <v>1537.2794935081581</v>
      </c>
      <c r="N24" s="26">
        <f t="shared" ref="N24" si="17">(1+N22)*M24</f>
        <v>1568.0250833783214</v>
      </c>
      <c r="O24" s="26">
        <f t="shared" ref="O24" si="18">(1+O22)*N24</f>
        <v>1599.3855850458879</v>
      </c>
    </row>
    <row r="25" spans="1:16" x14ac:dyDescent="0.2">
      <c r="B25" s="220" t="s">
        <v>436</v>
      </c>
      <c r="E25" s="288">
        <f>E24/(SUM(Segments!H$7:'Segments'!H$10)+E24)</f>
        <v>0.10983432236819539</v>
      </c>
      <c r="F25" s="288">
        <f>F24/(SUM(Segments!I$7:'Segments'!I$10)+F24)</f>
        <v>0.12094259220190751</v>
      </c>
      <c r="G25" s="288">
        <f>G24/(SUM(Segments!J$7:'Segments'!J$10)+G24)</f>
        <v>0.1279306553373441</v>
      </c>
      <c r="H25" s="288">
        <f>H24/(SUM(Segments!K$7:'Segments'!K$10)+H24)</f>
        <v>0.13033147158172156</v>
      </c>
      <c r="I25" s="288">
        <f>I24/(SUM(Segments!L$7:'Segments'!L$10)+I24)</f>
        <v>0.13297945650110232</v>
      </c>
      <c r="J25" s="288">
        <f>J24/(SUM(Segments!M$7:'Segments'!M$10)+J24)</f>
        <v>0.13500232454675998</v>
      </c>
      <c r="K25" s="288">
        <f>K24/(SUM(Segments!N$7:'Segments'!N$10)+K24)</f>
        <v>0.13702661718471509</v>
      </c>
      <c r="L25" s="288">
        <f>L24/(SUM(Segments!O$7:'Segments'!O$10)+L24)</f>
        <v>0.13810108514493261</v>
      </c>
      <c r="M25" s="288">
        <f>M24/(SUM(Segments!P$7:'Segments'!P$10)+M24)</f>
        <v>0.13963411028156017</v>
      </c>
      <c r="N25" s="288">
        <f>N24/(SUM(Segments!Q$7:'Segments'!Q$10)+N24)</f>
        <v>0.13999594881061533</v>
      </c>
      <c r="O25" s="288">
        <f>O24/(SUM(Segments!R$7:'Segments'!R$10)+O24)</f>
        <v>0.14035190578983492</v>
      </c>
    </row>
    <row r="26" spans="1:16" x14ac:dyDescent="0.2">
      <c r="B26" s="220"/>
      <c r="F26" s="290"/>
      <c r="G26" s="290"/>
      <c r="H26" s="261"/>
      <c r="I26" s="291"/>
      <c r="J26" s="292"/>
      <c r="K26" s="292"/>
      <c r="L26" s="292"/>
      <c r="M26" s="293"/>
      <c r="N26" s="293"/>
      <c r="O26" s="29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F1B6-B180-F340-9D2C-3FE193D18079}">
  <sheetPr>
    <tabColor theme="9" tint="-0.499984740745262"/>
  </sheetPr>
  <dimension ref="A1"/>
  <sheetViews>
    <sheetView workbookViewId="0">
      <selection activeCell="R34" sqref="R34"/>
    </sheetView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E3C8-D570-C744-80D4-CB3A25067660}">
  <dimension ref="A3:D8"/>
  <sheetViews>
    <sheetView showGridLines="0" zoomScale="117" workbookViewId="0">
      <selection activeCell="N34" sqref="N34"/>
    </sheetView>
  </sheetViews>
  <sheetFormatPr baseColWidth="10" defaultRowHeight="15" x14ac:dyDescent="0.2"/>
  <sheetData>
    <row r="3" spans="1:4" x14ac:dyDescent="0.2">
      <c r="B3" t="s">
        <v>35</v>
      </c>
      <c r="C3" t="s">
        <v>448</v>
      </c>
      <c r="D3" t="s">
        <v>449</v>
      </c>
    </row>
    <row r="4" spans="1:4" x14ac:dyDescent="0.2">
      <c r="A4" s="305" t="s">
        <v>445</v>
      </c>
      <c r="B4">
        <v>4126</v>
      </c>
      <c r="C4" s="306">
        <v>1.6E-2</v>
      </c>
      <c r="D4" s="306">
        <v>7.6999999999999999E-2</v>
      </c>
    </row>
    <row r="5" spans="1:4" x14ac:dyDescent="0.2">
      <c r="A5" s="305" t="s">
        <v>446</v>
      </c>
      <c r="B5">
        <v>1619</v>
      </c>
      <c r="C5" s="306">
        <v>4.1000000000000002E-2</v>
      </c>
      <c r="D5" s="306">
        <v>9.4E-2</v>
      </c>
    </row>
    <row r="6" spans="1:4" x14ac:dyDescent="0.2">
      <c r="A6" s="305" t="s">
        <v>300</v>
      </c>
      <c r="B6">
        <v>1119</v>
      </c>
      <c r="C6" s="306">
        <v>8.3000000000000004E-2</v>
      </c>
      <c r="D6" s="306">
        <v>5.8000000000000003E-2</v>
      </c>
    </row>
    <row r="7" spans="1:4" x14ac:dyDescent="0.2">
      <c r="A7" s="305" t="s">
        <v>299</v>
      </c>
      <c r="B7">
        <v>922</v>
      </c>
      <c r="C7" s="307">
        <v>0.02</v>
      </c>
      <c r="D7" s="306">
        <v>7.2999999999999995E-2</v>
      </c>
    </row>
    <row r="8" spans="1:4" x14ac:dyDescent="0.2">
      <c r="A8" s="305" t="s">
        <v>447</v>
      </c>
      <c r="B8">
        <v>961</v>
      </c>
      <c r="C8" s="306">
        <v>0.187</v>
      </c>
      <c r="D8" s="307">
        <v>0.09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987F-585B-AF40-9E19-9B13986C8436}">
  <dimension ref="B3:G47"/>
  <sheetViews>
    <sheetView showGridLines="0" topLeftCell="A8" workbookViewId="0">
      <selection activeCell="G30" sqref="G30"/>
    </sheetView>
  </sheetViews>
  <sheetFormatPr baseColWidth="10" defaultRowHeight="15" x14ac:dyDescent="0.2"/>
  <cols>
    <col min="2" max="2" width="25.83203125" bestFit="1" customWidth="1"/>
    <col min="6" max="6" width="41.33203125" bestFit="1" customWidth="1"/>
  </cols>
  <sheetData>
    <row r="3" spans="2:7" x14ac:dyDescent="0.2">
      <c r="B3" s="81" t="s">
        <v>79</v>
      </c>
      <c r="C3" s="35">
        <v>2243</v>
      </c>
      <c r="F3" s="17" t="s">
        <v>213</v>
      </c>
      <c r="G3" s="12"/>
    </row>
    <row r="4" spans="2:7" x14ac:dyDescent="0.2">
      <c r="B4" s="44" t="s">
        <v>310</v>
      </c>
      <c r="C4" s="243">
        <f>C3-C5</f>
        <v>1905.2</v>
      </c>
      <c r="F4" s="154" t="s">
        <v>297</v>
      </c>
      <c r="G4" s="259">
        <v>1065.0999999999999</v>
      </c>
    </row>
    <row r="5" spans="2:7" x14ac:dyDescent="0.2">
      <c r="B5" s="82" t="s">
        <v>304</v>
      </c>
      <c r="C5" s="38">
        <f>Segments!D35</f>
        <v>337.8</v>
      </c>
      <c r="F5" s="154" t="s">
        <v>298</v>
      </c>
      <c r="G5" s="259">
        <v>422.3</v>
      </c>
    </row>
    <row r="6" spans="2:7" x14ac:dyDescent="0.2">
      <c r="B6" s="1"/>
      <c r="C6" s="37"/>
      <c r="F6" s="154" t="s">
        <v>299</v>
      </c>
      <c r="G6" s="259">
        <v>228.7</v>
      </c>
    </row>
    <row r="7" spans="2:7" x14ac:dyDescent="0.2">
      <c r="B7" s="44" t="s">
        <v>311</v>
      </c>
      <c r="C7" s="36">
        <v>-374.6</v>
      </c>
      <c r="F7" s="154" t="s">
        <v>300</v>
      </c>
      <c r="G7" s="259">
        <v>297.7</v>
      </c>
    </row>
    <row r="8" spans="2:7" x14ac:dyDescent="0.2">
      <c r="B8" s="44" t="s">
        <v>312</v>
      </c>
      <c r="C8" s="36"/>
      <c r="F8" s="154" t="s">
        <v>301</v>
      </c>
      <c r="G8" s="259">
        <v>229.7</v>
      </c>
    </row>
    <row r="9" spans="2:7" x14ac:dyDescent="0.2">
      <c r="B9" s="44" t="s">
        <v>308</v>
      </c>
      <c r="C9" s="36">
        <v>-67.3</v>
      </c>
      <c r="F9" s="154" t="s">
        <v>413</v>
      </c>
      <c r="G9" s="51">
        <v>0</v>
      </c>
    </row>
    <row r="10" spans="2:7" x14ac:dyDescent="0.2">
      <c r="B10" s="44" t="s">
        <v>309</v>
      </c>
      <c r="C10" s="36">
        <v>0</v>
      </c>
      <c r="F10" s="155" t="s">
        <v>214</v>
      </c>
      <c r="G10" s="155">
        <f>SUM(G4:G9)</f>
        <v>2243.5</v>
      </c>
    </row>
    <row r="11" spans="2:7" x14ac:dyDescent="0.2">
      <c r="B11" s="82" t="s">
        <v>305</v>
      </c>
      <c r="C11" s="38">
        <f>C7+C8</f>
        <v>-374.6</v>
      </c>
      <c r="F11" s="248"/>
      <c r="G11" s="247"/>
    </row>
    <row r="12" spans="2:7" x14ac:dyDescent="0.2">
      <c r="B12" s="1"/>
      <c r="C12" s="37"/>
      <c r="F12" s="12"/>
      <c r="G12" s="12"/>
    </row>
    <row r="13" spans="2:7" x14ac:dyDescent="0.2">
      <c r="B13" s="7" t="s">
        <v>80</v>
      </c>
      <c r="C13" s="35">
        <f t="shared" ref="C13" si="0">C5+C11</f>
        <v>-36.800000000000011</v>
      </c>
      <c r="F13" s="17" t="s">
        <v>215</v>
      </c>
      <c r="G13" s="12"/>
    </row>
    <row r="14" spans="2:7" x14ac:dyDescent="0.2">
      <c r="B14" s="1"/>
      <c r="C14" s="37"/>
      <c r="F14" s="15" t="str">
        <f>F4</f>
        <v>Business &amp; Industry</v>
      </c>
      <c r="G14" s="288">
        <v>4.1000000000000002E-2</v>
      </c>
    </row>
    <row r="15" spans="2:7" x14ac:dyDescent="0.2">
      <c r="B15" s="1" t="s">
        <v>81</v>
      </c>
      <c r="C15" s="36">
        <v>-28.6</v>
      </c>
      <c r="F15" s="15" t="str">
        <f>F5</f>
        <v>Manufacturing &amp; Distribution</v>
      </c>
      <c r="G15" s="288">
        <v>7.0999999999999994E-2</v>
      </c>
    </row>
    <row r="16" spans="2:7" x14ac:dyDescent="0.2">
      <c r="B16" s="1" t="s">
        <v>37</v>
      </c>
      <c r="C16" s="36">
        <v>2.1</v>
      </c>
      <c r="F16" s="15" t="str">
        <f>F6</f>
        <v>Education</v>
      </c>
      <c r="G16" s="288">
        <v>1.4999999999999999E-2</v>
      </c>
    </row>
    <row r="17" spans="2:7" x14ac:dyDescent="0.2">
      <c r="B17" s="1" t="s">
        <v>38</v>
      </c>
      <c r="C17" s="36">
        <v>0</v>
      </c>
      <c r="F17" s="15" t="str">
        <f>F7</f>
        <v>Aviation</v>
      </c>
      <c r="G17" s="288">
        <v>0.10199999999999999</v>
      </c>
    </row>
    <row r="18" spans="2:7" x14ac:dyDescent="0.2">
      <c r="B18" s="1"/>
      <c r="C18" s="37"/>
      <c r="F18" s="15" t="str">
        <f>F8</f>
        <v>Technical Solutions</v>
      </c>
      <c r="G18" s="288">
        <v>0.13600000000000001</v>
      </c>
    </row>
    <row r="19" spans="2:7" x14ac:dyDescent="0.2">
      <c r="B19" s="7" t="s">
        <v>82</v>
      </c>
      <c r="C19" s="35">
        <f t="shared" ref="C19" si="1">C13+SUM(C15:C17)</f>
        <v>-63.300000000000011</v>
      </c>
      <c r="F19" s="15" t="s">
        <v>427</v>
      </c>
      <c r="G19" s="288">
        <v>0</v>
      </c>
    </row>
    <row r="20" spans="2:7" x14ac:dyDescent="0.2">
      <c r="B20" s="1" t="s">
        <v>83</v>
      </c>
      <c r="C20" s="36">
        <v>-53.5</v>
      </c>
      <c r="F20" s="16" t="s">
        <v>216</v>
      </c>
      <c r="G20" s="19">
        <f>6.1%</f>
        <v>6.0999999999999999E-2</v>
      </c>
    </row>
    <row r="21" spans="2:7" x14ac:dyDescent="0.2">
      <c r="B21" s="1" t="s">
        <v>84</v>
      </c>
      <c r="C21" s="36">
        <v>0</v>
      </c>
      <c r="F21" s="12"/>
      <c r="G21" s="12"/>
    </row>
    <row r="22" spans="2:7" ht="16" thickBot="1" x14ac:dyDescent="0.25">
      <c r="B22" s="27" t="s">
        <v>85</v>
      </c>
      <c r="C22" s="39">
        <v>38.799999999999997</v>
      </c>
      <c r="F22" s="17" t="s">
        <v>217</v>
      </c>
      <c r="G22" s="12"/>
    </row>
    <row r="23" spans="2:7" x14ac:dyDescent="0.2">
      <c r="B23" s="1" t="s">
        <v>40</v>
      </c>
      <c r="C23" s="24">
        <f>-C20/C19</f>
        <v>-0.8451816745655607</v>
      </c>
      <c r="F23" s="15" t="str">
        <f>F14</f>
        <v>Business &amp; Industry</v>
      </c>
      <c r="G23" s="41">
        <f>G4/SUM(G$4:G$8)</f>
        <v>0.47474927568531311</v>
      </c>
    </row>
    <row r="24" spans="2:7" x14ac:dyDescent="0.2">
      <c r="F24" s="15" t="str">
        <f>F15</f>
        <v>Manufacturing &amp; Distribution</v>
      </c>
      <c r="G24" s="41">
        <f t="shared" ref="G24:G27" si="2">G5/SUM(G$4:G$8)</f>
        <v>0.18823267216402942</v>
      </c>
    </row>
    <row r="25" spans="2:7" x14ac:dyDescent="0.2">
      <c r="B25" s="1" t="s">
        <v>457</v>
      </c>
      <c r="C25" s="322">
        <v>0.87</v>
      </c>
      <c r="F25" s="15" t="str">
        <f>F16</f>
        <v>Education</v>
      </c>
      <c r="G25" s="41">
        <f t="shared" si="2"/>
        <v>0.10193893470024515</v>
      </c>
    </row>
    <row r="26" spans="2:7" x14ac:dyDescent="0.2">
      <c r="F26" s="15" t="str">
        <f>F17</f>
        <v>Aviation</v>
      </c>
      <c r="G26" s="41">
        <f t="shared" si="2"/>
        <v>0.13269445063516827</v>
      </c>
    </row>
    <row r="27" spans="2:7" x14ac:dyDescent="0.2">
      <c r="F27" s="15" t="str">
        <f>F18</f>
        <v>Technical Solutions</v>
      </c>
      <c r="G27" s="41">
        <f t="shared" si="2"/>
        <v>0.10238466681524404</v>
      </c>
    </row>
    <row r="28" spans="2:7" x14ac:dyDescent="0.2">
      <c r="F28" s="16" t="s">
        <v>218</v>
      </c>
      <c r="G28" s="19">
        <f t="shared" ref="G28" si="3">SUM(G23:G27)</f>
        <v>1</v>
      </c>
    </row>
    <row r="29" spans="2:7" x14ac:dyDescent="0.2">
      <c r="F29" s="12"/>
      <c r="G29" s="12"/>
    </row>
    <row r="30" spans="2:7" x14ac:dyDescent="0.2">
      <c r="F30" s="9" t="s">
        <v>237</v>
      </c>
      <c r="G30" s="10"/>
    </row>
    <row r="31" spans="2:7" x14ac:dyDescent="0.2">
      <c r="F31" s="17" t="s">
        <v>302</v>
      </c>
      <c r="G31" s="12"/>
    </row>
    <row r="32" spans="2:7" x14ac:dyDescent="0.2">
      <c r="F32" s="154" t="s">
        <v>297</v>
      </c>
      <c r="G32" s="51">
        <f t="shared" ref="G32:G36" si="4">G41*G4</f>
        <v>79.882499999999993</v>
      </c>
    </row>
    <row r="33" spans="6:7" x14ac:dyDescent="0.2">
      <c r="F33" s="154" t="s">
        <v>298</v>
      </c>
      <c r="G33" s="51">
        <f t="shared" si="4"/>
        <v>36.317799999999998</v>
      </c>
    </row>
    <row r="34" spans="6:7" x14ac:dyDescent="0.2">
      <c r="F34" s="154" t="s">
        <v>299</v>
      </c>
      <c r="G34" s="51">
        <f t="shared" si="4"/>
        <v>21.497799999999998</v>
      </c>
    </row>
    <row r="35" spans="6:7" x14ac:dyDescent="0.2">
      <c r="F35" s="154" t="s">
        <v>300</v>
      </c>
      <c r="G35" s="51">
        <f t="shared" si="4"/>
        <v>12.503400000000001</v>
      </c>
    </row>
    <row r="36" spans="6:7" x14ac:dyDescent="0.2">
      <c r="F36" s="154" t="s">
        <v>301</v>
      </c>
      <c r="G36" s="51">
        <f t="shared" si="4"/>
        <v>8.498899999999999</v>
      </c>
    </row>
    <row r="37" spans="6:7" x14ac:dyDescent="0.2">
      <c r="F37" s="154" t="s">
        <v>417</v>
      </c>
      <c r="G37" s="51">
        <f>G46*G9</f>
        <v>0</v>
      </c>
    </row>
    <row r="38" spans="6:7" x14ac:dyDescent="0.2">
      <c r="F38" s="155" t="s">
        <v>303</v>
      </c>
      <c r="G38" s="155">
        <f>SUM(G32:G37)</f>
        <v>158.7004</v>
      </c>
    </row>
    <row r="39" spans="6:7" x14ac:dyDescent="0.2">
      <c r="F39" s="248"/>
      <c r="G39" s="12"/>
    </row>
    <row r="40" spans="6:7" x14ac:dyDescent="0.2">
      <c r="F40" s="17" t="s">
        <v>323</v>
      </c>
      <c r="G40" s="12"/>
    </row>
    <row r="41" spans="6:7" x14ac:dyDescent="0.2">
      <c r="F41" s="15" t="str">
        <f>F32</f>
        <v>Business &amp; Industry</v>
      </c>
      <c r="G41" s="296">
        <v>7.4999999999999997E-2</v>
      </c>
    </row>
    <row r="42" spans="6:7" x14ac:dyDescent="0.2">
      <c r="F42" s="15" t="str">
        <f>F33</f>
        <v>Manufacturing &amp; Distribution</v>
      </c>
      <c r="G42" s="296">
        <v>8.5999999999999993E-2</v>
      </c>
    </row>
    <row r="43" spans="6:7" x14ac:dyDescent="0.2">
      <c r="F43" s="15" t="str">
        <f>F34</f>
        <v>Education</v>
      </c>
      <c r="G43" s="296">
        <v>9.4E-2</v>
      </c>
    </row>
    <row r="44" spans="6:7" x14ac:dyDescent="0.2">
      <c r="F44" s="15" t="str">
        <f>F35</f>
        <v>Aviation</v>
      </c>
      <c r="G44" s="296">
        <v>4.2000000000000003E-2</v>
      </c>
    </row>
    <row r="45" spans="6:7" x14ac:dyDescent="0.2">
      <c r="F45" s="15" t="str">
        <f>F36</f>
        <v>Technical Solutions</v>
      </c>
      <c r="G45" s="296">
        <v>3.6999999999999998E-2</v>
      </c>
    </row>
    <row r="46" spans="6:7" x14ac:dyDescent="0.2">
      <c r="F46" s="15" t="s">
        <v>428</v>
      </c>
      <c r="G46" s="42">
        <v>0</v>
      </c>
    </row>
    <row r="47" spans="6:7" x14ac:dyDescent="0.2">
      <c r="F47" s="16" t="s">
        <v>324</v>
      </c>
      <c r="G47" s="251">
        <f t="shared" ref="G47" si="5">G38/G10</f>
        <v>7.0737864943169151E-2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0B58F-315B-6643-B75F-E3BC07F54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Legend</vt:lpstr>
      <vt:lpstr>CORE MODEL&gt;&gt;&gt;</vt:lpstr>
      <vt:lpstr>Summary</vt:lpstr>
      <vt:lpstr>Input</vt:lpstr>
      <vt:lpstr>Model</vt:lpstr>
      <vt:lpstr>Segments</vt:lpstr>
      <vt:lpstr>DCF</vt:lpstr>
      <vt:lpstr>Comps</vt:lpstr>
      <vt:lpstr>ASSUMPTIONS &gt;&gt;&gt;</vt:lpstr>
      <vt:lpstr>Acquisition related</vt:lpstr>
      <vt:lpstr>Thesis 1</vt:lpstr>
      <vt:lpstr>ADDL INFO &gt;&gt;&gt;</vt:lpstr>
      <vt:lpstr>Charts</vt:lpstr>
      <vt:lpstr>Q1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Zhu</dc:creator>
  <cp:keywords/>
  <dc:description/>
  <cp:lastModifiedBy>Vishesh Poddar</cp:lastModifiedBy>
  <cp:revision/>
  <dcterms:created xsi:type="dcterms:W3CDTF">2015-06-05T18:17:20Z</dcterms:created>
  <dcterms:modified xsi:type="dcterms:W3CDTF">2026-05-14T04:11:54Z</dcterms:modified>
  <cp:category/>
  <cp:contentStatus/>
</cp:coreProperties>
</file>